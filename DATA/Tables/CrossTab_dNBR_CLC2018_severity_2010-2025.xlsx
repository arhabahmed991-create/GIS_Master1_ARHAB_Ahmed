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2010-2011" sheetId="2" state="visible" r:id="rId4"/>
    <sheet name="2011-2012" sheetId="3" state="visible" r:id="rId5"/>
    <sheet name="2012-2013" sheetId="4" state="visible" r:id="rId6"/>
    <sheet name="2013-2014" sheetId="5" state="visible" r:id="rId7"/>
    <sheet name="2014-2015" sheetId="6" state="visible" r:id="rId8"/>
    <sheet name="2015-2016" sheetId="7" state="visible" r:id="rId9"/>
    <sheet name="2016-2017" sheetId="8" state="visible" r:id="rId10"/>
    <sheet name="2017-2018" sheetId="9" state="visible" r:id="rId11"/>
    <sheet name="2018-2019" sheetId="10" state="visible" r:id="rId12"/>
    <sheet name="2019-2020" sheetId="11" state="visible" r:id="rId13"/>
    <sheet name="2020-2021" sheetId="12" state="visible" r:id="rId14"/>
    <sheet name="2021-2022" sheetId="13" state="visible" r:id="rId15"/>
    <sheet name="2022-2023" sheetId="14" state="visible" r:id="rId16"/>
    <sheet name="2023-2024" sheetId="15" state="visible" r:id="rId17"/>
    <sheet name="2024-2025" sheetId="16" state="visible" r:id="rId18"/>
    <sheet name="Cumulative_2010-2025"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<sst xmlns="http://schemas.openxmlformats.org/spreadsheetml/2006/main" count="248" uniqueCount="37">
  <si>
    <t xml:space="preserve">Methodology and assumptions</t>
  </si>
  <si>
    <t xml:space="preserve">Source data: dNBR (delta Normalized Burn Ratio) computed from Landsat 5/7/8/9 Collection 2 Level 2 surface reflectance (30 m), annual median composites, 2010-2025, crossed with CLC2018 (Corine Land Cover 2018, 100 m) land-cover classes, over the 25 forest massifs of Provence (asset: MASSIFS_FORESTIERS_S_013).</t>
  </si>
  <si>
    <t xml:space="preserve">Vegetation classes: restricted to CLC2018 codes 311-324 (Level-2 groups '3.1 Forests' and '3.2 Shrub and/or herbaceous vegetation associations'): Broad-leaved forest (311), Coniferous forest (312), Mixed forest (313), Natural grasslands (321), Moors and heathland (322), Sclerophyllous vegetation (323), Transitional woodland-shrub (324). This excludes CLC codes 331-335 (beaches/dunes/sands, bare rocks, sparse vegetation, burnt areas, glaciers and perpetual snow) as well as all agricultural (2xx) and artificial/urban (1xx) classes. This scope was chosen by the analyst to isolate vegetated land cover; it is not part of the official CLC nomenclature and should be reviewed if a different definition is preferred.</t>
  </si>
  <si>
    <t xml:space="preserve">Fire severity classes: derived from dNBR using standard USGS-style thresholds (raw -1..1 scale): Low severity 0.10-0.27, Moderate-low severity 0.27-0.44, Moderate-high severity 0.44-0.66, High severity &gt; 0.66. Pixels with dNBR &lt;= 0.10 (non-burned / unaffected) are excluded from these tables, since the goal is to quantify area actually affected by fire.</t>
  </si>
  <si>
    <t xml:space="preserve">Number of periods: the study covers 16 calendar years (2010-2025), which yields 15 year-over-year dNBR intervals (2010-2011 through 2024-2025), not 14. Each interval is one sheet in this workbook.</t>
  </si>
  <si>
    <t xml:space="preserve">Each period sheet reports area in hectares (ha) of vegetated land within the 25 massifs, broken down by vegetation class (rows) and fire severity class (columns), for pixels where dNBR indicates the area was affected by fire in that specific year-over-year interval.</t>
  </si>
  <si>
    <t xml:space="preserve">The 'Cumulative_2010-2025' sheet sums each cell across all 15 period sheets (a formula adding the corresponding cell from each of the 15 period sheets), giving total hectares affected per vegetation class and severity class over the full 2010-2025 study window. Note this is a sum of year-over-year detections, not a count of distinct burned area (the same location burned in multiple intervals is counted once per interval).</t>
  </si>
  <si>
    <t xml:space="preserve">All monetary/area figures: hectares (ha), computed from Earth Engine pixel area at 30 m nominal resolution, reprojected to the massifs' geometry via a grouped reduceRegion at scale=30.</t>
  </si>
  <si>
    <t xml:space="preserve">Area (ha) of vegetation classes by fire severity — Period 2010-2011</t>
  </si>
  <si>
    <t xml:space="preserve">Vegetation class</t>
  </si>
  <si>
    <t xml:space="preserve">Low severity (dNBR 0.10-0.27)</t>
  </si>
  <si>
    <t xml:space="preserve">Moderate-low severity (dNBR 0.27-0.44)</t>
  </si>
  <si>
    <t xml:space="preserve">Moderate-high severity (dNBR 0.44-0.66)</t>
  </si>
  <si>
    <t xml:space="preserve">High severity (dNBR &gt; 0.66)</t>
  </si>
  <si>
    <t xml:space="preserve">Total</t>
  </si>
  <si>
    <t xml:space="preserve">Broad-leaved forest</t>
  </si>
  <si>
    <t xml:space="preserve">Coniferous forest</t>
  </si>
  <si>
    <t xml:space="preserve">Mixed forest</t>
  </si>
  <si>
    <t xml:space="preserve">Natural grasslands</t>
  </si>
  <si>
    <t xml:space="preserve">Moors and heathland</t>
  </si>
  <si>
    <t xml:space="preserve">Sclerophyllous vegetation</t>
  </si>
  <si>
    <t xml:space="preserve">Transitional woodland-shrub</t>
  </si>
  <si>
    <t xml:space="preserve">Area (ha) of vegetation classes by fire severity — Period 2011-2012</t>
  </si>
  <si>
    <t xml:space="preserve">Area (ha) of vegetation classes by fire severity — Period 2012-2013</t>
  </si>
  <si>
    <t xml:space="preserve">Area (ha) of vegetation classes by fire severity — Period 2013-2014</t>
  </si>
  <si>
    <t xml:space="preserve">Area (ha) of vegetation classes by fire severity — Period 2014-2015</t>
  </si>
  <si>
    <t xml:space="preserve">Area (ha) of vegetation classes by fire severity — Period 2015-2016</t>
  </si>
  <si>
    <t xml:space="preserve">Area (ha) of vegetation classes by fire severity — Period 2016-2017</t>
  </si>
  <si>
    <t xml:space="preserve">Area (ha) of vegetation classes by fire severity — Period 2017-2018</t>
  </si>
  <si>
    <t xml:space="preserve">Area (ha) of vegetation classes by fire severity — Period 2018-2019</t>
  </si>
  <si>
    <t xml:space="preserve">Area (ha) of vegetation classes by fire severity — Period 2019-2020</t>
  </si>
  <si>
    <t xml:space="preserve">Area (ha) of vegetation classes by fire severity — Period 2020-2021</t>
  </si>
  <si>
    <t xml:space="preserve">Area (ha) of vegetation classes by fire severity — Period 2021-2022</t>
  </si>
  <si>
    <t xml:space="preserve">Area (ha) of vegetation classes by fire severity — Period 2022-2023</t>
  </si>
  <si>
    <t xml:space="preserve">Area (ha) of vegetation classes by fire severity — Period 2023-2024</t>
  </si>
  <si>
    <t xml:space="preserve">Area (ha) of vegetation classes by fire severity — Period 2024-2025</t>
  </si>
  <si>
    <t xml:space="preserve">Cumulative area (ha) of vegetation classes by fire severity — 2010-2025 (sum of all 15 periods)</t>
  </si>
</sst>
</file>

<file path=xl/styles.xml><?xml version="1.0" encoding="utf-8"?>
<styleSheet xmlns="http://schemas.openxmlformats.org/spreadsheetml/2006/main">
  <numFmts count="2">
    <numFmt numFmtId="164" formatCode="General"/>
    <numFmt numFmtId="165" formatCode="#,##0.0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3"/>
      <name val="Arial"/>
      <family val="0"/>
      <charset val="1"/>
    </font>
    <font>
      <b val="true"/>
      <sz val="10"/>
      <name val="Arial"/>
      <family val="0"/>
      <charset val="1"/>
    </font>
  </fonts>
  <fills count="4">
    <fill>
      <patternFill patternType="none"/>
    </fill>
    <fill>
      <patternFill patternType="gray125"/>
    </fill>
    <fill>
      <patternFill patternType="solid">
        <fgColor rgb="FFD9E1F2"/>
        <bgColor rgb="FFF2F2F2"/>
      </patternFill>
    </fill>
    <fill>
      <patternFill patternType="solid">
        <fgColor rgb="FFF2F2F2"/>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 hidden="false" customHeight="true" outlineLevel="0" collapsed="false">
      <c r="A1" s="1" t="s">
        <v>0</v>
      </c>
    </row>
    <row r="2" customFormat="false" ht="18" hidden="false" customHeight="true" outlineLevel="0" collapsed="false">
      <c r="A2" s="2"/>
    </row>
    <row r="3" customFormat="false" ht="45" hidden="false" customHeight="true" outlineLevel="0" collapsed="false">
      <c r="A3" s="2" t="s">
        <v>1</v>
      </c>
    </row>
    <row r="4" customFormat="false" ht="18" hidden="false" customHeight="true" outlineLevel="0" collapsed="false">
      <c r="A4" s="2"/>
    </row>
    <row r="5" customFormat="false" ht="45" hidden="false" customHeight="true" outlineLevel="0" collapsed="false">
      <c r="A5" s="2" t="s">
        <v>2</v>
      </c>
    </row>
    <row r="6" customFormat="false" ht="18" hidden="false" customHeight="true" outlineLevel="0" collapsed="false">
      <c r="A6" s="2"/>
    </row>
    <row r="7" customFormat="false" ht="45" hidden="false" customHeight="true" outlineLevel="0" collapsed="false">
      <c r="A7" s="2" t="s">
        <v>3</v>
      </c>
    </row>
    <row r="8" customFormat="false" ht="18" hidden="false" customHeight="true" outlineLevel="0" collapsed="false">
      <c r="A8" s="2"/>
    </row>
    <row r="9" customFormat="false" ht="45" hidden="false" customHeight="true" outlineLevel="0" collapsed="false">
      <c r="A9" s="2" t="s">
        <v>4</v>
      </c>
    </row>
    <row r="10" customFormat="false" ht="18" hidden="false" customHeight="true" outlineLevel="0" collapsed="false">
      <c r="A10" s="2"/>
    </row>
    <row r="11" customFormat="false" ht="45" hidden="false" customHeight="true" outlineLevel="0" collapsed="false">
      <c r="A11" s="2" t="s">
        <v>5</v>
      </c>
    </row>
    <row r="12" customFormat="false" ht="18" hidden="false" customHeight="true" outlineLevel="0" collapsed="false">
      <c r="A12" s="2"/>
    </row>
    <row r="13" customFormat="false" ht="45" hidden="false" customHeight="true" outlineLevel="0" collapsed="false">
      <c r="A13" s="2" t="s">
        <v>6</v>
      </c>
    </row>
    <row r="14" customFormat="false" ht="18" hidden="false" customHeight="true" outlineLevel="0" collapsed="false">
      <c r="A14" s="2"/>
    </row>
    <row r="15" customFormat="false" ht="45" hidden="false" customHeight="true" outlineLevel="0" collapsed="false">
      <c r="A15"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8</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173.133664</v>
      </c>
      <c r="C4" s="6" t="n">
        <v>33.91389933</v>
      </c>
      <c r="D4" s="6" t="n">
        <v>1.303385962</v>
      </c>
      <c r="E4" s="6" t="n">
        <v>0</v>
      </c>
      <c r="F4" s="6" t="n">
        <f aca="false">SUM(B4:E4)</f>
        <v>208.350949292</v>
      </c>
    </row>
    <row r="5" customFormat="false" ht="15" hidden="false" customHeight="false" outlineLevel="0" collapsed="false">
      <c r="A5" s="5" t="s">
        <v>16</v>
      </c>
      <c r="B5" s="6" t="n">
        <v>658.3913042</v>
      </c>
      <c r="C5" s="6" t="n">
        <v>34.42400656</v>
      </c>
      <c r="D5" s="6" t="n">
        <v>14.12406039</v>
      </c>
      <c r="E5" s="6" t="n">
        <v>3.203461578</v>
      </c>
      <c r="F5" s="6" t="n">
        <f aca="false">SUM(B5:E5)</f>
        <v>710.142832728</v>
      </c>
    </row>
    <row r="6" customFormat="false" ht="15" hidden="false" customHeight="false" outlineLevel="0" collapsed="false">
      <c r="A6" s="5" t="s">
        <v>17</v>
      </c>
      <c r="B6" s="6" t="n">
        <v>194.7146605</v>
      </c>
      <c r="C6" s="6" t="n">
        <v>10.68617587</v>
      </c>
      <c r="D6" s="6" t="n">
        <v>0.1631885354</v>
      </c>
      <c r="E6" s="6" t="n">
        <v>0</v>
      </c>
      <c r="F6" s="6" t="n">
        <f aca="false">SUM(B6:E6)</f>
        <v>205.5640249054</v>
      </c>
    </row>
    <row r="7" customFormat="false" ht="15" hidden="false" customHeight="false" outlineLevel="0" collapsed="false">
      <c r="A7" s="5" t="s">
        <v>18</v>
      </c>
      <c r="B7" s="6" t="n">
        <v>123.4951545</v>
      </c>
      <c r="C7" s="6" t="n">
        <v>0.9944323873</v>
      </c>
      <c r="D7" s="6" t="n">
        <v>0</v>
      </c>
      <c r="E7" s="6" t="n">
        <v>0</v>
      </c>
      <c r="F7" s="6" t="n">
        <f aca="false">SUM(B7:E7)</f>
        <v>124.4895868873</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1615.300159</v>
      </c>
      <c r="C9" s="6" t="n">
        <v>334.3149871</v>
      </c>
      <c r="D9" s="6" t="n">
        <v>24.52852249</v>
      </c>
      <c r="E9" s="6" t="n">
        <v>0.7845487732</v>
      </c>
      <c r="F9" s="6" t="n">
        <f aca="false">SUM(B9:E9)</f>
        <v>1974.9282173632</v>
      </c>
    </row>
    <row r="10" customFormat="false" ht="15" hidden="false" customHeight="false" outlineLevel="0" collapsed="false">
      <c r="A10" s="5" t="s">
        <v>21</v>
      </c>
      <c r="B10" s="6" t="n">
        <v>234.5621967</v>
      </c>
      <c r="C10" s="6" t="n">
        <v>8.01908138</v>
      </c>
      <c r="D10" s="6" t="n">
        <v>0.3326111185</v>
      </c>
      <c r="E10" s="6" t="n">
        <v>0</v>
      </c>
      <c r="F10" s="6" t="n">
        <f aca="false">SUM(B10:E10)</f>
        <v>242.9138891985</v>
      </c>
    </row>
    <row r="11" customFormat="false" ht="15" hidden="false" customHeight="false" outlineLevel="0" collapsed="false">
      <c r="A11" s="7" t="s">
        <v>14</v>
      </c>
      <c r="B11" s="8" t="n">
        <f aca="false">SUM(B4:B10)</f>
        <v>2999.5971389</v>
      </c>
      <c r="C11" s="8" t="n">
        <f aca="false">SUM(C4:C10)</f>
        <v>422.3525826273</v>
      </c>
      <c r="D11" s="8" t="n">
        <f aca="false">SUM(D4:D10)</f>
        <v>40.4517684959</v>
      </c>
      <c r="E11" s="8" t="n">
        <f aca="false">SUM(E4:E10)</f>
        <v>3.9880103512</v>
      </c>
      <c r="F11" s="8" t="n">
        <f aca="false">SUM(F4:F10)</f>
        <v>3466.3895003744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22</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540.1079891</v>
      </c>
      <c r="C4" s="6" t="n">
        <v>55.84564562</v>
      </c>
      <c r="D4" s="6" t="n">
        <v>11.74428973</v>
      </c>
      <c r="E4" s="6" t="n">
        <v>0</v>
      </c>
      <c r="F4" s="6" t="n">
        <f aca="false">SUM(B4:E4)</f>
        <v>607.69792445</v>
      </c>
    </row>
    <row r="5" customFormat="false" ht="15" hidden="false" customHeight="false" outlineLevel="0" collapsed="false">
      <c r="A5" s="5" t="s">
        <v>16</v>
      </c>
      <c r="B5" s="6" t="n">
        <v>956.2906953</v>
      </c>
      <c r="C5" s="6" t="n">
        <v>21.0072458</v>
      </c>
      <c r="D5" s="6" t="n">
        <v>0.7785525761</v>
      </c>
      <c r="E5" s="6" t="n">
        <v>0</v>
      </c>
      <c r="F5" s="6" t="n">
        <f aca="false">SUM(B5:E5)</f>
        <v>978.0764936761</v>
      </c>
    </row>
    <row r="6" customFormat="false" ht="15" hidden="false" customHeight="false" outlineLevel="0" collapsed="false">
      <c r="A6" s="5" t="s">
        <v>17</v>
      </c>
      <c r="B6" s="6" t="n">
        <v>604.5386277</v>
      </c>
      <c r="C6" s="6" t="n">
        <v>24.91755632</v>
      </c>
      <c r="D6" s="6" t="n">
        <v>0</v>
      </c>
      <c r="E6" s="6" t="n">
        <v>0</v>
      </c>
      <c r="F6" s="6" t="n">
        <f aca="false">SUM(B6:E6)</f>
        <v>629.45618402</v>
      </c>
    </row>
    <row r="7" customFormat="false" ht="15" hidden="false" customHeight="false" outlineLevel="0" collapsed="false">
      <c r="A7" s="5" t="s">
        <v>18</v>
      </c>
      <c r="B7" s="6" t="n">
        <v>83.57996623</v>
      </c>
      <c r="C7" s="6" t="n">
        <v>1.366350677</v>
      </c>
      <c r="D7" s="6" t="n">
        <v>0</v>
      </c>
      <c r="E7" s="6" t="n">
        <v>0</v>
      </c>
      <c r="F7" s="6" t="n">
        <f aca="false">SUM(B7:E7)</f>
        <v>84.946316907</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1404.251092</v>
      </c>
      <c r="C9" s="6" t="n">
        <v>92.1450482</v>
      </c>
      <c r="D9" s="6" t="n">
        <v>7.556865295</v>
      </c>
      <c r="E9" s="6" t="n">
        <v>0</v>
      </c>
      <c r="F9" s="6" t="n">
        <f aca="false">SUM(B9:E9)</f>
        <v>1503.953005495</v>
      </c>
    </row>
    <row r="10" customFormat="false" ht="15" hidden="false" customHeight="false" outlineLevel="0" collapsed="false">
      <c r="A10" s="5" t="s">
        <v>21</v>
      </c>
      <c r="B10" s="6" t="n">
        <v>356.9949684</v>
      </c>
      <c r="C10" s="6" t="n">
        <v>12.99794935</v>
      </c>
      <c r="D10" s="6" t="n">
        <v>1.555998257</v>
      </c>
      <c r="E10" s="6" t="n">
        <v>0</v>
      </c>
      <c r="F10" s="6" t="n">
        <f aca="false">SUM(B10:E10)</f>
        <v>371.548916007</v>
      </c>
    </row>
    <row r="11" customFormat="false" ht="15" hidden="false" customHeight="false" outlineLevel="0" collapsed="false">
      <c r="A11" s="7" t="s">
        <v>14</v>
      </c>
      <c r="B11" s="8" t="n">
        <f aca="false">SUM(B4:B10)</f>
        <v>3945.76333873</v>
      </c>
      <c r="C11" s="8" t="n">
        <f aca="false">SUM(C4:C10)</f>
        <v>208.279795967</v>
      </c>
      <c r="D11" s="8" t="n">
        <f aca="false">SUM(D4:D10)</f>
        <v>21.6357058581</v>
      </c>
      <c r="E11" s="8" t="n">
        <f aca="false">SUM(E4:E10)</f>
        <v>0</v>
      </c>
      <c r="F11" s="8" t="n">
        <f aca="false">SUM(F4:F10)</f>
        <v>4175.6788405551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23</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131.5577341</v>
      </c>
      <c r="C4" s="6" t="n">
        <v>46.13159489</v>
      </c>
      <c r="D4" s="6" t="n">
        <v>0.5864011292</v>
      </c>
      <c r="E4" s="6" t="n">
        <v>0</v>
      </c>
      <c r="F4" s="6" t="n">
        <f aca="false">SUM(B4:E4)</f>
        <v>178.2757301192</v>
      </c>
    </row>
    <row r="5" customFormat="false" ht="15" hidden="false" customHeight="false" outlineLevel="0" collapsed="false">
      <c r="A5" s="5" t="s">
        <v>16</v>
      </c>
      <c r="B5" s="6" t="n">
        <v>424.1568514</v>
      </c>
      <c r="C5" s="6" t="n">
        <v>21.25681981</v>
      </c>
      <c r="D5" s="6" t="n">
        <v>0.9108156616</v>
      </c>
      <c r="E5" s="6" t="n">
        <v>0</v>
      </c>
      <c r="F5" s="6" t="n">
        <f aca="false">SUM(B5:E5)</f>
        <v>446.3244868716</v>
      </c>
    </row>
    <row r="6" customFormat="false" ht="15" hidden="false" customHeight="false" outlineLevel="0" collapsed="false">
      <c r="A6" s="5" t="s">
        <v>17</v>
      </c>
      <c r="B6" s="6" t="n">
        <v>144.2091519</v>
      </c>
      <c r="C6" s="6" t="n">
        <v>11.92091096</v>
      </c>
      <c r="D6" s="6" t="n">
        <v>0.06551408691</v>
      </c>
      <c r="E6" s="6" t="n">
        <v>0</v>
      </c>
      <c r="F6" s="6" t="n">
        <f aca="false">SUM(B6:E6)</f>
        <v>156.19557694691</v>
      </c>
    </row>
    <row r="7" customFormat="false" ht="15" hidden="false" customHeight="false" outlineLevel="0" collapsed="false">
      <c r="A7" s="5" t="s">
        <v>18</v>
      </c>
      <c r="B7" s="6" t="n">
        <v>5.766114336</v>
      </c>
      <c r="C7" s="6" t="n">
        <v>0</v>
      </c>
      <c r="D7" s="6" t="n">
        <v>0</v>
      </c>
      <c r="E7" s="6" t="n">
        <v>0</v>
      </c>
      <c r="F7" s="6" t="n">
        <f aca="false">SUM(B7:E7)</f>
        <v>5.766114336</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421.9559122</v>
      </c>
      <c r="C9" s="6" t="n">
        <v>55.8715334</v>
      </c>
      <c r="D9" s="6" t="n">
        <v>9.293227403</v>
      </c>
      <c r="E9" s="6" t="n">
        <v>0</v>
      </c>
      <c r="F9" s="6" t="n">
        <f aca="false">SUM(B9:E9)</f>
        <v>487.120673003</v>
      </c>
    </row>
    <row r="10" customFormat="false" ht="15" hidden="false" customHeight="false" outlineLevel="0" collapsed="false">
      <c r="A10" s="5" t="s">
        <v>21</v>
      </c>
      <c r="B10" s="6" t="n">
        <v>205.7178431</v>
      </c>
      <c r="C10" s="6" t="n">
        <v>109.9223211</v>
      </c>
      <c r="D10" s="6" t="n">
        <v>34.43212367</v>
      </c>
      <c r="E10" s="6" t="n">
        <v>0</v>
      </c>
      <c r="F10" s="6" t="n">
        <f aca="false">SUM(B10:E10)</f>
        <v>350.07228787</v>
      </c>
    </row>
    <row r="11" customFormat="false" ht="15" hidden="false" customHeight="false" outlineLevel="0" collapsed="false">
      <c r="A11" s="7" t="s">
        <v>14</v>
      </c>
      <c r="B11" s="8" t="n">
        <f aca="false">SUM(B4:B10)</f>
        <v>1333.363607036</v>
      </c>
      <c r="C11" s="8" t="n">
        <f aca="false">SUM(C4:C10)</f>
        <v>245.10318016</v>
      </c>
      <c r="D11" s="8" t="n">
        <f aca="false">SUM(D4:D10)</f>
        <v>45.28808195071</v>
      </c>
      <c r="E11" s="8" t="n">
        <f aca="false">SUM(E4:E10)</f>
        <v>0</v>
      </c>
      <c r="F11" s="8" t="n">
        <f aca="false">SUM(F4:F10)</f>
        <v>1623.75486914671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24</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212.4554058</v>
      </c>
      <c r="C4" s="6" t="n">
        <v>26.49354531</v>
      </c>
      <c r="D4" s="6" t="n">
        <v>2.150790629</v>
      </c>
      <c r="E4" s="6" t="n">
        <v>0</v>
      </c>
      <c r="F4" s="6" t="n">
        <f aca="false">SUM(B4:E4)</f>
        <v>241.099741739</v>
      </c>
    </row>
    <row r="5" customFormat="false" ht="15" hidden="false" customHeight="false" outlineLevel="0" collapsed="false">
      <c r="A5" s="5" t="s">
        <v>16</v>
      </c>
      <c r="B5" s="6" t="n">
        <v>478.1722658</v>
      </c>
      <c r="C5" s="6" t="n">
        <v>16.95243146</v>
      </c>
      <c r="D5" s="6" t="n">
        <v>1.638341541</v>
      </c>
      <c r="E5" s="6" t="n">
        <v>0</v>
      </c>
      <c r="F5" s="6" t="n">
        <f aca="false">SUM(B5:E5)</f>
        <v>496.763038801</v>
      </c>
    </row>
    <row r="6" customFormat="false" ht="15" hidden="false" customHeight="false" outlineLevel="0" collapsed="false">
      <c r="A6" s="5" t="s">
        <v>17</v>
      </c>
      <c r="B6" s="6" t="n">
        <v>188.5768235</v>
      </c>
      <c r="C6" s="6" t="n">
        <v>22.07273047</v>
      </c>
      <c r="D6" s="6" t="n">
        <v>2.603441492</v>
      </c>
      <c r="E6" s="6" t="n">
        <v>0</v>
      </c>
      <c r="F6" s="6" t="n">
        <f aca="false">SUM(B6:E6)</f>
        <v>213.252995462</v>
      </c>
    </row>
    <row r="7" customFormat="false" ht="15" hidden="false" customHeight="false" outlineLevel="0" collapsed="false">
      <c r="A7" s="5" t="s">
        <v>18</v>
      </c>
      <c r="B7" s="6" t="n">
        <v>12.88831345</v>
      </c>
      <c r="C7" s="6" t="n">
        <v>0.009718350663</v>
      </c>
      <c r="D7" s="6" t="n">
        <v>0</v>
      </c>
      <c r="E7" s="6" t="n">
        <v>0</v>
      </c>
      <c r="F7" s="6" t="n">
        <f aca="false">SUM(B7:E7)</f>
        <v>12.898031800663</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622.3549914</v>
      </c>
      <c r="C9" s="6" t="n">
        <v>8.156936028</v>
      </c>
      <c r="D9" s="6" t="n">
        <v>0.4559435669</v>
      </c>
      <c r="E9" s="6" t="n">
        <v>0</v>
      </c>
      <c r="F9" s="6" t="n">
        <f aca="false">SUM(B9:E9)</f>
        <v>630.9678709949</v>
      </c>
    </row>
    <row r="10" customFormat="false" ht="15" hidden="false" customHeight="false" outlineLevel="0" collapsed="false">
      <c r="A10" s="5" t="s">
        <v>21</v>
      </c>
      <c r="B10" s="6" t="n">
        <v>225.8526568</v>
      </c>
      <c r="C10" s="6" t="n">
        <v>6.986606546</v>
      </c>
      <c r="D10" s="6" t="n">
        <v>1.106714893</v>
      </c>
      <c r="E10" s="6" t="n">
        <v>0</v>
      </c>
      <c r="F10" s="6" t="n">
        <f aca="false">SUM(B10:E10)</f>
        <v>233.945978239</v>
      </c>
    </row>
    <row r="11" customFormat="false" ht="15" hidden="false" customHeight="false" outlineLevel="0" collapsed="false">
      <c r="A11" s="7" t="s">
        <v>14</v>
      </c>
      <c r="B11" s="8" t="n">
        <f aca="false">SUM(B4:B10)</f>
        <v>1740.30045675</v>
      </c>
      <c r="C11" s="8" t="n">
        <f aca="false">SUM(C4:C10)</f>
        <v>80.671968164663</v>
      </c>
      <c r="D11" s="8" t="n">
        <f aca="false">SUM(D4:D10)</f>
        <v>7.9552321219</v>
      </c>
      <c r="E11" s="8" t="n">
        <f aca="false">SUM(E4:E10)</f>
        <v>0</v>
      </c>
      <c r="F11" s="8" t="n">
        <f aca="false">SUM(F4:F10)</f>
        <v>1828.92765703656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25</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182.9157321</v>
      </c>
      <c r="C4" s="6" t="n">
        <v>24.23057451</v>
      </c>
      <c r="D4" s="6" t="n">
        <v>3.515691809</v>
      </c>
      <c r="E4" s="6" t="n">
        <v>0</v>
      </c>
      <c r="F4" s="6" t="n">
        <f aca="false">SUM(B4:E4)</f>
        <v>210.661998419</v>
      </c>
    </row>
    <row r="5" customFormat="false" ht="15" hidden="false" customHeight="false" outlineLevel="0" collapsed="false">
      <c r="A5" s="5" t="s">
        <v>16</v>
      </c>
      <c r="B5" s="6" t="n">
        <v>408.7191488</v>
      </c>
      <c r="C5" s="6" t="n">
        <v>14.20962</v>
      </c>
      <c r="D5" s="6" t="n">
        <v>0.589974823</v>
      </c>
      <c r="E5" s="6" t="n">
        <v>0</v>
      </c>
      <c r="F5" s="6" t="n">
        <f aca="false">SUM(B5:E5)</f>
        <v>423.518743623</v>
      </c>
    </row>
    <row r="6" customFormat="false" ht="15" hidden="false" customHeight="false" outlineLevel="0" collapsed="false">
      <c r="A6" s="5" t="s">
        <v>17</v>
      </c>
      <c r="B6" s="6" t="n">
        <v>188.0465589</v>
      </c>
      <c r="C6" s="6" t="n">
        <v>9.638474903</v>
      </c>
      <c r="D6" s="6" t="n">
        <v>2.536785156</v>
      </c>
      <c r="E6" s="6" t="n">
        <v>0</v>
      </c>
      <c r="F6" s="6" t="n">
        <f aca="false">SUM(B6:E6)</f>
        <v>200.221818959</v>
      </c>
    </row>
    <row r="7" customFormat="false" ht="15" hidden="false" customHeight="false" outlineLevel="0" collapsed="false">
      <c r="A7" s="5" t="s">
        <v>18</v>
      </c>
      <c r="B7" s="6" t="n">
        <v>5.307537258</v>
      </c>
      <c r="C7" s="6" t="n">
        <v>0.08065920195</v>
      </c>
      <c r="D7" s="6" t="n">
        <v>0</v>
      </c>
      <c r="E7" s="6" t="n">
        <v>0</v>
      </c>
      <c r="F7" s="6" t="n">
        <f aca="false">SUM(B7:E7)</f>
        <v>5.38819645995</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465.6417983</v>
      </c>
      <c r="C9" s="6" t="n">
        <v>7.258429958</v>
      </c>
      <c r="D9" s="6" t="n">
        <v>0.08849169735</v>
      </c>
      <c r="E9" s="6" t="n">
        <v>0</v>
      </c>
      <c r="F9" s="6" t="n">
        <f aca="false">SUM(B9:E9)</f>
        <v>472.98871995535</v>
      </c>
    </row>
    <row r="10" customFormat="false" ht="15" hidden="false" customHeight="false" outlineLevel="0" collapsed="false">
      <c r="A10" s="5" t="s">
        <v>21</v>
      </c>
      <c r="B10" s="6" t="n">
        <v>113.1548402</v>
      </c>
      <c r="C10" s="6" t="n">
        <v>2.82212657</v>
      </c>
      <c r="D10" s="6" t="n">
        <v>0.3267401978</v>
      </c>
      <c r="E10" s="6" t="n">
        <v>0</v>
      </c>
      <c r="F10" s="6" t="n">
        <f aca="false">SUM(B10:E10)</f>
        <v>116.3037069678</v>
      </c>
    </row>
    <row r="11" customFormat="false" ht="15" hidden="false" customHeight="false" outlineLevel="0" collapsed="false">
      <c r="A11" s="7" t="s">
        <v>14</v>
      </c>
      <c r="B11" s="8" t="n">
        <f aca="false">SUM(B4:B10)</f>
        <v>1363.785615558</v>
      </c>
      <c r="C11" s="8" t="n">
        <f aca="false">SUM(C4:C10)</f>
        <v>58.23988514295</v>
      </c>
      <c r="D11" s="8" t="n">
        <f aca="false">SUM(D4:D10)</f>
        <v>7.05768368315</v>
      </c>
      <c r="E11" s="8" t="n">
        <f aca="false">SUM(E4:E10)</f>
        <v>0</v>
      </c>
      <c r="F11" s="8" t="n">
        <f aca="false">SUM(F4:F10)</f>
        <v>1429.0831843841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26</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435.5553798</v>
      </c>
      <c r="C4" s="6" t="n">
        <v>23.28289333</v>
      </c>
      <c r="D4" s="6" t="n">
        <v>1.171879376</v>
      </c>
      <c r="E4" s="6" t="n">
        <v>0</v>
      </c>
      <c r="F4" s="6" t="n">
        <f aca="false">SUM(B4:E4)</f>
        <v>460.010152506</v>
      </c>
    </row>
    <row r="5" customFormat="false" ht="15" hidden="false" customHeight="false" outlineLevel="0" collapsed="false">
      <c r="A5" s="5" t="s">
        <v>16</v>
      </c>
      <c r="B5" s="6" t="n">
        <v>2160.695102</v>
      </c>
      <c r="C5" s="6" t="n">
        <v>48.67447341</v>
      </c>
      <c r="D5" s="6" t="n">
        <v>8.302630972</v>
      </c>
      <c r="E5" s="6" t="n">
        <v>2.026320752</v>
      </c>
      <c r="F5" s="6" t="n">
        <f aca="false">SUM(B5:E5)</f>
        <v>2219.698527134</v>
      </c>
    </row>
    <row r="6" customFormat="false" ht="15" hidden="false" customHeight="false" outlineLevel="0" collapsed="false">
      <c r="A6" s="5" t="s">
        <v>17</v>
      </c>
      <c r="B6" s="6" t="n">
        <v>412.5281227</v>
      </c>
      <c r="C6" s="6" t="n">
        <v>16.73383092</v>
      </c>
      <c r="D6" s="6" t="n">
        <v>5.806109164</v>
      </c>
      <c r="E6" s="6" t="n">
        <v>1.370259583</v>
      </c>
      <c r="F6" s="6" t="n">
        <f aca="false">SUM(B6:E6)</f>
        <v>436.438322367</v>
      </c>
    </row>
    <row r="7" customFormat="false" ht="15" hidden="false" customHeight="false" outlineLevel="0" collapsed="false">
      <c r="A7" s="5" t="s">
        <v>18</v>
      </c>
      <c r="B7" s="6" t="n">
        <v>159.092923</v>
      </c>
      <c r="C7" s="6" t="n">
        <v>8.648369818</v>
      </c>
      <c r="D7" s="6" t="n">
        <v>0.5222423462</v>
      </c>
      <c r="E7" s="6" t="n">
        <v>0</v>
      </c>
      <c r="F7" s="6" t="n">
        <f aca="false">SUM(B7:E7)</f>
        <v>168.2635351642</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9607.364708</v>
      </c>
      <c r="C9" s="6" t="n">
        <v>159.4702179</v>
      </c>
      <c r="D9" s="6" t="n">
        <v>11.25566812</v>
      </c>
      <c r="E9" s="6" t="n">
        <v>0.2583407492</v>
      </c>
      <c r="F9" s="6" t="n">
        <f aca="false">SUM(B9:E9)</f>
        <v>9778.3489347692</v>
      </c>
    </row>
    <row r="10" customFormat="false" ht="15" hidden="false" customHeight="false" outlineLevel="0" collapsed="false">
      <c r="A10" s="5" t="s">
        <v>21</v>
      </c>
      <c r="B10" s="6" t="n">
        <v>880.6154467</v>
      </c>
      <c r="C10" s="6" t="n">
        <v>25.19818613</v>
      </c>
      <c r="D10" s="6" t="n">
        <v>2.317213428</v>
      </c>
      <c r="E10" s="6" t="n">
        <v>0.1305517639</v>
      </c>
      <c r="F10" s="6" t="n">
        <f aca="false">SUM(B10:E10)</f>
        <v>908.2613980219</v>
      </c>
    </row>
    <row r="11" customFormat="false" ht="15" hidden="false" customHeight="false" outlineLevel="0" collapsed="false">
      <c r="A11" s="7" t="s">
        <v>14</v>
      </c>
      <c r="B11" s="8" t="n">
        <f aca="false">SUM(B4:B10)</f>
        <v>13655.8516822</v>
      </c>
      <c r="C11" s="8" t="n">
        <f aca="false">SUM(C4:C10)</f>
        <v>282.007971508</v>
      </c>
      <c r="D11" s="8" t="n">
        <f aca="false">SUM(D4:D10)</f>
        <v>29.3757434062</v>
      </c>
      <c r="E11" s="8" t="n">
        <f aca="false">SUM(E4:E10)</f>
        <v>3.7854728481</v>
      </c>
      <c r="F11" s="8" t="n">
        <f aca="false">SUM(F4:F10)</f>
        <v>13971.0208699623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27</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173.5660361</v>
      </c>
      <c r="C4" s="6" t="n">
        <v>39.38837964</v>
      </c>
      <c r="D4" s="6" t="n">
        <v>1.629071228</v>
      </c>
      <c r="E4" s="6" t="n">
        <v>0</v>
      </c>
      <c r="F4" s="6" t="n">
        <f aca="false">SUM(B4:E4)</f>
        <v>214.583486968</v>
      </c>
    </row>
    <row r="5" customFormat="false" ht="15" hidden="false" customHeight="false" outlineLevel="0" collapsed="false">
      <c r="A5" s="5" t="s">
        <v>16</v>
      </c>
      <c r="B5" s="6" t="n">
        <v>438.0137075</v>
      </c>
      <c r="C5" s="6" t="n">
        <v>19.87244151</v>
      </c>
      <c r="D5" s="6" t="n">
        <v>8.428701339</v>
      </c>
      <c r="E5" s="6" t="n">
        <v>0.6531749573</v>
      </c>
      <c r="F5" s="6" t="n">
        <f aca="false">SUM(B5:E5)</f>
        <v>466.9680253063</v>
      </c>
    </row>
    <row r="6" customFormat="false" ht="15" hidden="false" customHeight="false" outlineLevel="0" collapsed="false">
      <c r="A6" s="5" t="s">
        <v>17</v>
      </c>
      <c r="B6" s="6" t="n">
        <v>154.0645187</v>
      </c>
      <c r="C6" s="6" t="n">
        <v>12.0486633</v>
      </c>
      <c r="D6" s="6" t="n">
        <v>2.018564587</v>
      </c>
      <c r="E6" s="6" t="n">
        <v>0</v>
      </c>
      <c r="F6" s="6" t="n">
        <f aca="false">SUM(B6:E6)</f>
        <v>168.131746587</v>
      </c>
    </row>
    <row r="7" customFormat="false" ht="15" hidden="false" customHeight="false" outlineLevel="0" collapsed="false">
      <c r="A7" s="5" t="s">
        <v>18</v>
      </c>
      <c r="B7" s="6" t="n">
        <v>77.11796791</v>
      </c>
      <c r="C7" s="6" t="n">
        <v>7.302043057</v>
      </c>
      <c r="D7" s="6" t="n">
        <v>1.335563113</v>
      </c>
      <c r="E7" s="6" t="n">
        <v>0</v>
      </c>
      <c r="F7" s="6" t="n">
        <f aca="false">SUM(B7:E7)</f>
        <v>85.75557408</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711.8190969</v>
      </c>
      <c r="C9" s="6" t="n">
        <v>33.81963334</v>
      </c>
      <c r="D9" s="6" t="n">
        <v>2.749068246</v>
      </c>
      <c r="E9" s="6" t="n">
        <v>0</v>
      </c>
      <c r="F9" s="6" t="n">
        <f aca="false">SUM(B9:E9)</f>
        <v>748.387798486</v>
      </c>
    </row>
    <row r="10" customFormat="false" ht="15" hidden="false" customHeight="false" outlineLevel="0" collapsed="false">
      <c r="A10" s="5" t="s">
        <v>21</v>
      </c>
      <c r="B10" s="6" t="n">
        <v>270.0527513</v>
      </c>
      <c r="C10" s="6" t="n">
        <v>26.67925745</v>
      </c>
      <c r="D10" s="6" t="n">
        <v>16.20627467</v>
      </c>
      <c r="E10" s="6" t="n">
        <v>0.4569419312</v>
      </c>
      <c r="F10" s="6" t="n">
        <f aca="false">SUM(B10:E10)</f>
        <v>313.3952253512</v>
      </c>
    </row>
    <row r="11" customFormat="false" ht="15" hidden="false" customHeight="false" outlineLevel="0" collapsed="false">
      <c r="A11" s="7" t="s">
        <v>14</v>
      </c>
      <c r="B11" s="8" t="n">
        <f aca="false">SUM(B4:B10)</f>
        <v>1824.63407841</v>
      </c>
      <c r="C11" s="8" t="n">
        <f aca="false">SUM(C4:C10)</f>
        <v>139.110418297</v>
      </c>
      <c r="D11" s="8" t="n">
        <f aca="false">SUM(D4:D10)</f>
        <v>32.367243183</v>
      </c>
      <c r="E11" s="8" t="n">
        <f aca="false">SUM(E4:E10)</f>
        <v>1.1101168885</v>
      </c>
      <c r="F11" s="8" t="n">
        <f aca="false">SUM(F4:F10)</f>
        <v>1997.2218567785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28</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209.6898606</v>
      </c>
      <c r="C4" s="6" t="n">
        <v>10.16397737</v>
      </c>
      <c r="D4" s="6" t="n">
        <v>0</v>
      </c>
      <c r="E4" s="6" t="n">
        <v>0</v>
      </c>
      <c r="F4" s="6" t="n">
        <f aca="false">SUM(B4:E4)</f>
        <v>219.85383797</v>
      </c>
    </row>
    <row r="5" customFormat="false" ht="15" hidden="false" customHeight="false" outlineLevel="0" collapsed="false">
      <c r="A5" s="5" t="s">
        <v>16</v>
      </c>
      <c r="B5" s="6" t="n">
        <v>222.7390551</v>
      </c>
      <c r="C5" s="6" t="n">
        <v>35.31715844</v>
      </c>
      <c r="D5" s="6" t="n">
        <v>11.17712521</v>
      </c>
      <c r="E5" s="6" t="n">
        <v>0.06528148193</v>
      </c>
      <c r="F5" s="6" t="n">
        <f aca="false">SUM(B5:E5)</f>
        <v>269.29862023193</v>
      </c>
    </row>
    <row r="6" customFormat="false" ht="15" hidden="false" customHeight="false" outlineLevel="0" collapsed="false">
      <c r="A6" s="5" t="s">
        <v>17</v>
      </c>
      <c r="B6" s="6" t="n">
        <v>122.1295349</v>
      </c>
      <c r="C6" s="6" t="n">
        <v>3.589630182</v>
      </c>
      <c r="D6" s="6" t="n">
        <v>0.2603091797</v>
      </c>
      <c r="E6" s="6" t="n">
        <v>0</v>
      </c>
      <c r="F6" s="6" t="n">
        <f aca="false">SUM(B6:E6)</f>
        <v>125.9794742617</v>
      </c>
    </row>
    <row r="7" customFormat="false" ht="15" hidden="false" customHeight="false" outlineLevel="0" collapsed="false">
      <c r="A7" s="5" t="s">
        <v>18</v>
      </c>
      <c r="B7" s="6" t="n">
        <v>9.323613847</v>
      </c>
      <c r="C7" s="6" t="n">
        <v>4.06756268</v>
      </c>
      <c r="D7" s="6" t="n">
        <v>2.610272777</v>
      </c>
      <c r="E7" s="6" t="n">
        <v>0.1305514771</v>
      </c>
      <c r="F7" s="6" t="n">
        <f aca="false">SUM(B7:E7)</f>
        <v>16.1320007811</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169.1475121</v>
      </c>
      <c r="C9" s="6" t="n">
        <v>5.841713869</v>
      </c>
      <c r="D9" s="6" t="n">
        <v>0.1960721924</v>
      </c>
      <c r="E9" s="6" t="n">
        <v>0</v>
      </c>
      <c r="F9" s="6" t="n">
        <f aca="false">SUM(B9:E9)</f>
        <v>175.1852981614</v>
      </c>
    </row>
    <row r="10" customFormat="false" ht="15" hidden="false" customHeight="false" outlineLevel="0" collapsed="false">
      <c r="A10" s="5" t="s">
        <v>21</v>
      </c>
      <c r="B10" s="6" t="n">
        <v>115.5815596</v>
      </c>
      <c r="C10" s="6" t="n">
        <v>12.3975831</v>
      </c>
      <c r="D10" s="6" t="n">
        <v>4.76957019</v>
      </c>
      <c r="E10" s="6" t="n">
        <v>0</v>
      </c>
      <c r="F10" s="6" t="n">
        <f aca="false">SUM(B10:E10)</f>
        <v>132.74871289</v>
      </c>
    </row>
    <row r="11" customFormat="false" ht="15" hidden="false" customHeight="false" outlineLevel="0" collapsed="false">
      <c r="A11" s="7" t="s">
        <v>14</v>
      </c>
      <c r="B11" s="8" t="n">
        <f aca="false">SUM(B4:B10)</f>
        <v>848.611136147</v>
      </c>
      <c r="C11" s="8" t="n">
        <f aca="false">SUM(C4:C10)</f>
        <v>71.377625641</v>
      </c>
      <c r="D11" s="8" t="n">
        <f aca="false">SUM(D4:D10)</f>
        <v>19.0133495491</v>
      </c>
      <c r="E11" s="8" t="n">
        <f aca="false">SUM(E4:E10)</f>
        <v>0.19583295903</v>
      </c>
      <c r="F11" s="8" t="n">
        <f aca="false">SUM(F4:F10)</f>
        <v>939.19794429613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29</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198.2864623</v>
      </c>
      <c r="C4" s="6" t="n">
        <v>9.067973656</v>
      </c>
      <c r="D4" s="6" t="n">
        <v>0.1303094849</v>
      </c>
      <c r="E4" s="6" t="n">
        <v>0</v>
      </c>
      <c r="F4" s="6" t="n">
        <f aca="false">SUM(B4:E4)</f>
        <v>207.4847454409</v>
      </c>
    </row>
    <row r="5" customFormat="false" ht="15" hidden="false" customHeight="false" outlineLevel="0" collapsed="false">
      <c r="A5" s="5" t="s">
        <v>16</v>
      </c>
      <c r="B5" s="6" t="n">
        <v>463.5635041</v>
      </c>
      <c r="C5" s="6" t="n">
        <v>10.57411661</v>
      </c>
      <c r="D5" s="6" t="n">
        <v>0.4557533203</v>
      </c>
      <c r="E5" s="6" t="n">
        <v>0</v>
      </c>
      <c r="F5" s="6" t="n">
        <f aca="false">SUM(B5:E5)</f>
        <v>474.5933740303</v>
      </c>
    </row>
    <row r="6" customFormat="false" ht="15" hidden="false" customHeight="false" outlineLevel="0" collapsed="false">
      <c r="A6" s="5" t="s">
        <v>17</v>
      </c>
      <c r="B6" s="6" t="n">
        <v>191.3809683</v>
      </c>
      <c r="C6" s="6" t="n">
        <v>5.404281632</v>
      </c>
      <c r="D6" s="6" t="n">
        <v>0</v>
      </c>
      <c r="E6" s="6" t="n">
        <v>0</v>
      </c>
      <c r="F6" s="6" t="n">
        <f aca="false">SUM(B6:E6)</f>
        <v>196.785249932</v>
      </c>
    </row>
    <row r="7" customFormat="false" ht="15" hidden="false" customHeight="false" outlineLevel="0" collapsed="false">
      <c r="A7" s="5" t="s">
        <v>18</v>
      </c>
      <c r="B7" s="6" t="n">
        <v>15.71755764</v>
      </c>
      <c r="C7" s="6" t="n">
        <v>0</v>
      </c>
      <c r="D7" s="6" t="n">
        <v>0</v>
      </c>
      <c r="E7" s="6" t="n">
        <v>0</v>
      </c>
      <c r="F7" s="6" t="n">
        <f aca="false">SUM(B7:E7)</f>
        <v>15.71755764</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899.2078755</v>
      </c>
      <c r="C9" s="6" t="n">
        <v>7.796778676</v>
      </c>
      <c r="D9" s="6" t="n">
        <v>0.2604528625</v>
      </c>
      <c r="E9" s="6" t="n">
        <v>0</v>
      </c>
      <c r="F9" s="6" t="n">
        <f aca="false">SUM(B9:E9)</f>
        <v>907.2651070385</v>
      </c>
    </row>
    <row r="10" customFormat="false" ht="15" hidden="false" customHeight="false" outlineLevel="0" collapsed="false">
      <c r="A10" s="5" t="s">
        <v>21</v>
      </c>
      <c r="B10" s="6" t="n">
        <v>272.5362329</v>
      </c>
      <c r="C10" s="6" t="n">
        <v>4.079791977</v>
      </c>
      <c r="D10" s="6" t="n">
        <v>0.848905188</v>
      </c>
      <c r="E10" s="6" t="n">
        <v>0</v>
      </c>
      <c r="F10" s="6" t="n">
        <f aca="false">SUM(B10:E10)</f>
        <v>277.464930065</v>
      </c>
    </row>
    <row r="11" customFormat="false" ht="15" hidden="false" customHeight="false" outlineLevel="0" collapsed="false">
      <c r="A11" s="7" t="s">
        <v>14</v>
      </c>
      <c r="B11" s="8" t="n">
        <f aca="false">SUM(B4:B10)</f>
        <v>2040.69260074</v>
      </c>
      <c r="C11" s="8" t="n">
        <f aca="false">SUM(C4:C10)</f>
        <v>36.922942551</v>
      </c>
      <c r="D11" s="8" t="n">
        <f aca="false">SUM(D4:D10)</f>
        <v>1.6954208557</v>
      </c>
      <c r="E11" s="8" t="n">
        <f aca="false">SUM(E4:E10)</f>
        <v>0</v>
      </c>
      <c r="F11" s="8" t="n">
        <f aca="false">SUM(F4:F10)</f>
        <v>2079.3109641467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30</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103.8938347</v>
      </c>
      <c r="C4" s="6" t="n">
        <v>10.40030137</v>
      </c>
      <c r="D4" s="6" t="n">
        <v>0.1951502441</v>
      </c>
      <c r="E4" s="6" t="n">
        <v>0</v>
      </c>
      <c r="F4" s="6" t="n">
        <f aca="false">SUM(B4:E4)</f>
        <v>114.4892863141</v>
      </c>
    </row>
    <row r="5" customFormat="false" ht="15" hidden="false" customHeight="false" outlineLevel="0" collapsed="false">
      <c r="A5" s="5" t="s">
        <v>16</v>
      </c>
      <c r="B5" s="6" t="n">
        <v>296.080778</v>
      </c>
      <c r="C5" s="6" t="n">
        <v>8.629672662</v>
      </c>
      <c r="D5" s="6" t="n">
        <v>0.9128624329</v>
      </c>
      <c r="E5" s="6" t="n">
        <v>0</v>
      </c>
      <c r="F5" s="6" t="n">
        <f aca="false">SUM(B5:E5)</f>
        <v>305.6233130949</v>
      </c>
    </row>
    <row r="6" customFormat="false" ht="15" hidden="false" customHeight="false" outlineLevel="0" collapsed="false">
      <c r="A6" s="5" t="s">
        <v>17</v>
      </c>
      <c r="B6" s="6" t="n">
        <v>119.8054782</v>
      </c>
      <c r="C6" s="6" t="n">
        <v>0.777094254</v>
      </c>
      <c r="D6" s="6" t="n">
        <v>0</v>
      </c>
      <c r="E6" s="6" t="n">
        <v>0</v>
      </c>
      <c r="F6" s="6" t="n">
        <f aca="false">SUM(B6:E6)</f>
        <v>120.582572454</v>
      </c>
    </row>
    <row r="7" customFormat="false" ht="15" hidden="false" customHeight="false" outlineLevel="0" collapsed="false">
      <c r="A7" s="5" t="s">
        <v>18</v>
      </c>
      <c r="B7" s="6" t="n">
        <v>4.504775087</v>
      </c>
      <c r="C7" s="6" t="n">
        <v>0.3263697998</v>
      </c>
      <c r="D7" s="6" t="n">
        <v>0</v>
      </c>
      <c r="E7" s="6" t="n">
        <v>0</v>
      </c>
      <c r="F7" s="6" t="n">
        <f aca="false">SUM(B7:E7)</f>
        <v>4.8311448868</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162.4863244</v>
      </c>
      <c r="C9" s="6" t="n">
        <v>4.249019489</v>
      </c>
      <c r="D9" s="6" t="n">
        <v>1.434178589</v>
      </c>
      <c r="E9" s="6" t="n">
        <v>0</v>
      </c>
      <c r="F9" s="6" t="n">
        <f aca="false">SUM(B9:E9)</f>
        <v>168.169522478</v>
      </c>
    </row>
    <row r="10" customFormat="false" ht="15" hidden="false" customHeight="false" outlineLevel="0" collapsed="false">
      <c r="A10" s="5" t="s">
        <v>21</v>
      </c>
      <c r="B10" s="6" t="n">
        <v>52.70554089</v>
      </c>
      <c r="C10" s="6" t="n">
        <v>1.434820929</v>
      </c>
      <c r="D10" s="6" t="n">
        <v>0</v>
      </c>
      <c r="E10" s="6" t="n">
        <v>0</v>
      </c>
      <c r="F10" s="6" t="n">
        <f aca="false">SUM(B10:E10)</f>
        <v>54.140361819</v>
      </c>
    </row>
    <row r="11" customFormat="false" ht="15" hidden="false" customHeight="false" outlineLevel="0" collapsed="false">
      <c r="A11" s="7" t="s">
        <v>14</v>
      </c>
      <c r="B11" s="8" t="n">
        <f aca="false">SUM(B4:B10)</f>
        <v>739.476731277</v>
      </c>
      <c r="C11" s="8" t="n">
        <f aca="false">SUM(C4:C10)</f>
        <v>25.8172785038</v>
      </c>
      <c r="D11" s="8" t="n">
        <f aca="false">SUM(D4:D10)</f>
        <v>2.542191266</v>
      </c>
      <c r="E11" s="8" t="n">
        <f aca="false">SUM(E4:E10)</f>
        <v>0</v>
      </c>
      <c r="F11" s="8" t="n">
        <f aca="false">SUM(F4:F10)</f>
        <v>767.8362010468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31</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133.7724565</v>
      </c>
      <c r="C4" s="6" t="n">
        <v>5.84617294</v>
      </c>
      <c r="D4" s="6" t="n">
        <v>0.130363562</v>
      </c>
      <c r="E4" s="6" t="n">
        <v>0</v>
      </c>
      <c r="F4" s="6" t="n">
        <f aca="false">SUM(B4:E4)</f>
        <v>139.748993002</v>
      </c>
    </row>
    <row r="5" customFormat="false" ht="15" hidden="false" customHeight="false" outlineLevel="0" collapsed="false">
      <c r="A5" s="5" t="s">
        <v>16</v>
      </c>
      <c r="B5" s="6" t="n">
        <v>424.4635812</v>
      </c>
      <c r="C5" s="6" t="n">
        <v>255.0445117</v>
      </c>
      <c r="D5" s="6" t="n">
        <v>119.4898076</v>
      </c>
      <c r="E5" s="6" t="n">
        <v>0.2612518982</v>
      </c>
      <c r="F5" s="6" t="n">
        <f aca="false">SUM(B5:E5)</f>
        <v>799.2591523982</v>
      </c>
    </row>
    <row r="6" customFormat="false" ht="15" hidden="false" customHeight="false" outlineLevel="0" collapsed="false">
      <c r="A6" s="5" t="s">
        <v>17</v>
      </c>
      <c r="B6" s="6" t="n">
        <v>91.20134716</v>
      </c>
      <c r="C6" s="6" t="n">
        <v>32.3801166</v>
      </c>
      <c r="D6" s="6" t="n">
        <v>18.56809999</v>
      </c>
      <c r="E6" s="6" t="n">
        <v>0</v>
      </c>
      <c r="F6" s="6" t="n">
        <f aca="false">SUM(B6:E6)</f>
        <v>142.14956375</v>
      </c>
    </row>
    <row r="7" customFormat="false" ht="15" hidden="false" customHeight="false" outlineLevel="0" collapsed="false">
      <c r="A7" s="5" t="s">
        <v>18</v>
      </c>
      <c r="B7" s="6" t="n">
        <v>51.86727262</v>
      </c>
      <c r="C7" s="6" t="n">
        <v>16.92818368</v>
      </c>
      <c r="D7" s="6" t="n">
        <v>7.70446424</v>
      </c>
      <c r="E7" s="6" t="n">
        <v>0</v>
      </c>
      <c r="F7" s="6" t="n">
        <f aca="false">SUM(B7:E7)</f>
        <v>76.49992054</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622.7995806</v>
      </c>
      <c r="C9" s="6" t="n">
        <v>147.4947152</v>
      </c>
      <c r="D9" s="6" t="n">
        <v>24.19354896</v>
      </c>
      <c r="E9" s="6" t="n">
        <v>0</v>
      </c>
      <c r="F9" s="6" t="n">
        <f aca="false">SUM(B9:E9)</f>
        <v>794.48784476</v>
      </c>
    </row>
    <row r="10" customFormat="false" ht="15" hidden="false" customHeight="false" outlineLevel="0" collapsed="false">
      <c r="A10" s="5" t="s">
        <v>21</v>
      </c>
      <c r="B10" s="6" t="n">
        <v>140.0314804</v>
      </c>
      <c r="C10" s="6" t="n">
        <v>26.23034623</v>
      </c>
      <c r="D10" s="6" t="n">
        <v>9.61989835</v>
      </c>
      <c r="E10" s="6" t="n">
        <v>0</v>
      </c>
      <c r="F10" s="6" t="n">
        <f aca="false">SUM(B10:E10)</f>
        <v>175.88172498</v>
      </c>
    </row>
    <row r="11" customFormat="false" ht="15" hidden="false" customHeight="false" outlineLevel="0" collapsed="false">
      <c r="A11" s="7" t="s">
        <v>14</v>
      </c>
      <c r="B11" s="8" t="n">
        <f aca="false">SUM(B4:B10)</f>
        <v>1464.13571848</v>
      </c>
      <c r="C11" s="8" t="n">
        <f aca="false">SUM(C4:C10)</f>
        <v>483.92404635</v>
      </c>
      <c r="D11" s="8" t="n">
        <f aca="false">SUM(D4:D10)</f>
        <v>179.706182702</v>
      </c>
      <c r="E11" s="8" t="n">
        <f aca="false">SUM(E4:E10)</f>
        <v>0.2612518982</v>
      </c>
      <c r="F11" s="8" t="n">
        <f aca="false">SUM(F4:F10)</f>
        <v>2128.0271994302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32</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254.8865161</v>
      </c>
      <c r="C4" s="6" t="n">
        <v>9.49601733</v>
      </c>
      <c r="D4" s="6" t="n">
        <v>1.504144741</v>
      </c>
      <c r="E4" s="6" t="n">
        <v>0.1949048462</v>
      </c>
      <c r="F4" s="6" t="n">
        <f aca="false">SUM(B4:E4)</f>
        <v>266.0815830172</v>
      </c>
    </row>
    <row r="5" customFormat="false" ht="15" hidden="false" customHeight="false" outlineLevel="0" collapsed="false">
      <c r="A5" s="5" t="s">
        <v>16</v>
      </c>
      <c r="B5" s="6" t="n">
        <v>1175.717089</v>
      </c>
      <c r="C5" s="6" t="n">
        <v>10.53169064</v>
      </c>
      <c r="D5" s="6" t="n">
        <v>1.694695306</v>
      </c>
      <c r="E5" s="6" t="n">
        <v>0</v>
      </c>
      <c r="F5" s="6" t="n">
        <f aca="false">SUM(B5:E5)</f>
        <v>1187.943474946</v>
      </c>
    </row>
    <row r="6" customFormat="false" ht="15" hidden="false" customHeight="false" outlineLevel="0" collapsed="false">
      <c r="A6" s="5" t="s">
        <v>17</v>
      </c>
      <c r="B6" s="6" t="n">
        <v>305.8500013</v>
      </c>
      <c r="C6" s="6" t="n">
        <v>7.072698462</v>
      </c>
      <c r="D6" s="6" t="n">
        <v>0.3768362552</v>
      </c>
      <c r="E6" s="6" t="n">
        <v>0</v>
      </c>
      <c r="F6" s="6" t="n">
        <f aca="false">SUM(B6:E6)</f>
        <v>313.2995360172</v>
      </c>
    </row>
    <row r="7" customFormat="false" ht="15" hidden="false" customHeight="false" outlineLevel="0" collapsed="false">
      <c r="A7" s="5" t="s">
        <v>18</v>
      </c>
      <c r="B7" s="6" t="n">
        <v>94.9084713</v>
      </c>
      <c r="C7" s="6" t="n">
        <v>0.9560863571</v>
      </c>
      <c r="D7" s="6" t="n">
        <v>0.1958229126</v>
      </c>
      <c r="E7" s="6" t="n">
        <v>0</v>
      </c>
      <c r="F7" s="6" t="n">
        <f aca="false">SUM(B7:E7)</f>
        <v>96.0603805697</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2301.394395</v>
      </c>
      <c r="C9" s="6" t="n">
        <v>18.6413209</v>
      </c>
      <c r="D9" s="6" t="n">
        <v>0.1299463745</v>
      </c>
      <c r="E9" s="6" t="n">
        <v>0</v>
      </c>
      <c r="F9" s="6" t="n">
        <f aca="false">SUM(B9:E9)</f>
        <v>2320.1656622745</v>
      </c>
    </row>
    <row r="10" customFormat="false" ht="15" hidden="false" customHeight="false" outlineLevel="0" collapsed="false">
      <c r="A10" s="5" t="s">
        <v>21</v>
      </c>
      <c r="B10" s="6" t="n">
        <v>342.1369905</v>
      </c>
      <c r="C10" s="6" t="n">
        <v>5.589877926</v>
      </c>
      <c r="D10" s="6" t="n">
        <v>0.1961163574</v>
      </c>
      <c r="E10" s="6" t="n">
        <v>0</v>
      </c>
      <c r="F10" s="6" t="n">
        <f aca="false">SUM(B10:E10)</f>
        <v>347.9229847834</v>
      </c>
    </row>
    <row r="11" customFormat="false" ht="15" hidden="false" customHeight="false" outlineLevel="0" collapsed="false">
      <c r="A11" s="7" t="s">
        <v>14</v>
      </c>
      <c r="B11" s="8" t="n">
        <f aca="false">SUM(B4:B10)</f>
        <v>4474.8934632</v>
      </c>
      <c r="C11" s="8" t="n">
        <f aca="false">SUM(C4:C10)</f>
        <v>52.2876916151</v>
      </c>
      <c r="D11" s="8" t="n">
        <f aca="false">SUM(D4:D10)</f>
        <v>4.0975619467</v>
      </c>
      <c r="E11" s="8" t="n">
        <f aca="false">SUM(E4:E10)</f>
        <v>0.1949048462</v>
      </c>
      <c r="F11" s="8" t="n">
        <f aca="false">SUM(F4:F10)</f>
        <v>4531.473621608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33</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75.62578537</v>
      </c>
      <c r="C4" s="6" t="n">
        <v>7.953199701</v>
      </c>
      <c r="D4" s="6" t="n">
        <v>0</v>
      </c>
      <c r="E4" s="6" t="n">
        <v>0</v>
      </c>
      <c r="F4" s="6" t="n">
        <f aca="false">SUM(B4:E4)</f>
        <v>83.578985071</v>
      </c>
    </row>
    <row r="5" customFormat="false" ht="15" hidden="false" customHeight="false" outlineLevel="0" collapsed="false">
      <c r="A5" s="5" t="s">
        <v>16</v>
      </c>
      <c r="B5" s="6" t="n">
        <v>337.7780104</v>
      </c>
      <c r="C5" s="6" t="n">
        <v>186.7232064</v>
      </c>
      <c r="D5" s="6" t="n">
        <v>43.30605971</v>
      </c>
      <c r="E5" s="6" t="n">
        <v>0.1296741577</v>
      </c>
      <c r="F5" s="6" t="n">
        <f aca="false">SUM(B5:E5)</f>
        <v>567.9369506677</v>
      </c>
    </row>
    <row r="6" customFormat="false" ht="15" hidden="false" customHeight="false" outlineLevel="0" collapsed="false">
      <c r="A6" s="5" t="s">
        <v>17</v>
      </c>
      <c r="B6" s="6" t="n">
        <v>82.3191481</v>
      </c>
      <c r="C6" s="6" t="n">
        <v>19.07112199</v>
      </c>
      <c r="D6" s="6" t="n">
        <v>3.381644348</v>
      </c>
      <c r="E6" s="6" t="n">
        <v>0</v>
      </c>
      <c r="F6" s="6" t="n">
        <f aca="false">SUM(B6:E6)</f>
        <v>104.771914438</v>
      </c>
    </row>
    <row r="7" customFormat="false" ht="15" hidden="false" customHeight="false" outlineLevel="0" collapsed="false">
      <c r="A7" s="5" t="s">
        <v>18</v>
      </c>
      <c r="B7" s="6" t="n">
        <v>38.59975067</v>
      </c>
      <c r="C7" s="6" t="n">
        <v>15.06920082</v>
      </c>
      <c r="D7" s="6" t="n">
        <v>0.1950935303</v>
      </c>
      <c r="E7" s="6" t="n">
        <v>0</v>
      </c>
      <c r="F7" s="6" t="n">
        <f aca="false">SUM(B7:E7)</f>
        <v>53.8640450203</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657.6968161</v>
      </c>
      <c r="C9" s="6" t="n">
        <v>89.69330507</v>
      </c>
      <c r="D9" s="6" t="n">
        <v>3.767432257</v>
      </c>
      <c r="E9" s="6" t="n">
        <v>0</v>
      </c>
      <c r="F9" s="6" t="n">
        <f aca="false">SUM(B9:E9)</f>
        <v>751.157553427</v>
      </c>
    </row>
    <row r="10" customFormat="false" ht="15" hidden="false" customHeight="false" outlineLevel="0" collapsed="false">
      <c r="A10" s="5" t="s">
        <v>21</v>
      </c>
      <c r="B10" s="6" t="n">
        <v>92.88900473</v>
      </c>
      <c r="C10" s="6" t="n">
        <v>20.59653589</v>
      </c>
      <c r="D10" s="6" t="n">
        <v>0.7835024536</v>
      </c>
      <c r="E10" s="6" t="n">
        <v>0</v>
      </c>
      <c r="F10" s="6" t="n">
        <f aca="false">SUM(B10:E10)</f>
        <v>114.2690430736</v>
      </c>
    </row>
    <row r="11" customFormat="false" ht="15" hidden="false" customHeight="false" outlineLevel="0" collapsed="false">
      <c r="A11" s="7" t="s">
        <v>14</v>
      </c>
      <c r="B11" s="8" t="n">
        <f aca="false">SUM(B4:B10)</f>
        <v>1284.90851537</v>
      </c>
      <c r="C11" s="8" t="n">
        <f aca="false">SUM(C4:C10)</f>
        <v>339.106569871</v>
      </c>
      <c r="D11" s="8" t="n">
        <f aca="false">SUM(D4:D10)</f>
        <v>51.4337322989</v>
      </c>
      <c r="E11" s="8" t="n">
        <f aca="false">SUM(E4:E10)</f>
        <v>0.1296741577</v>
      </c>
      <c r="F11" s="8" t="n">
        <f aca="false">SUM(F4:F10)</f>
        <v>1675.5784916976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34</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84.97515407</v>
      </c>
      <c r="C4" s="6" t="n">
        <v>2.579947625</v>
      </c>
      <c r="D4" s="6" t="n">
        <v>0</v>
      </c>
      <c r="E4" s="6" t="n">
        <v>0</v>
      </c>
      <c r="F4" s="6" t="n">
        <f aca="false">SUM(B4:E4)</f>
        <v>87.555101695</v>
      </c>
    </row>
    <row r="5" customFormat="false" ht="15" hidden="false" customHeight="false" outlineLevel="0" collapsed="false">
      <c r="A5" s="5" t="s">
        <v>16</v>
      </c>
      <c r="B5" s="6" t="n">
        <v>179.1484939</v>
      </c>
      <c r="C5" s="6" t="n">
        <v>2.2037538</v>
      </c>
      <c r="D5" s="6" t="n">
        <v>0.9547335599</v>
      </c>
      <c r="E5" s="6" t="n">
        <v>0</v>
      </c>
      <c r="F5" s="6" t="n">
        <f aca="false">SUM(B5:E5)</f>
        <v>182.3069812599</v>
      </c>
    </row>
    <row r="6" customFormat="false" ht="15" hidden="false" customHeight="false" outlineLevel="0" collapsed="false">
      <c r="A6" s="5" t="s">
        <v>17</v>
      </c>
      <c r="B6" s="6" t="n">
        <v>81.5037194</v>
      </c>
      <c r="C6" s="6" t="n">
        <v>0.7825796265</v>
      </c>
      <c r="D6" s="6" t="n">
        <v>0</v>
      </c>
      <c r="E6" s="6" t="n">
        <v>0</v>
      </c>
      <c r="F6" s="6" t="n">
        <f aca="false">SUM(B6:E6)</f>
        <v>82.2862990265</v>
      </c>
    </row>
    <row r="7" customFormat="false" ht="15" hidden="false" customHeight="false" outlineLevel="0" collapsed="false">
      <c r="A7" s="5" t="s">
        <v>18</v>
      </c>
      <c r="B7" s="6" t="n">
        <v>3.7447129</v>
      </c>
      <c r="C7" s="6" t="n">
        <v>0.1299746582</v>
      </c>
      <c r="D7" s="6" t="n">
        <v>0</v>
      </c>
      <c r="E7" s="6" t="n">
        <v>0</v>
      </c>
      <c r="F7" s="6" t="n">
        <f aca="false">SUM(B7:E7)</f>
        <v>3.8746875582</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245.8117388</v>
      </c>
      <c r="C9" s="6" t="n">
        <v>3.635251805</v>
      </c>
      <c r="D9" s="6" t="n">
        <v>0</v>
      </c>
      <c r="E9" s="6" t="n">
        <v>0</v>
      </c>
      <c r="F9" s="6" t="n">
        <f aca="false">SUM(B9:E9)</f>
        <v>249.446990605</v>
      </c>
    </row>
    <row r="10" customFormat="false" ht="15" hidden="false" customHeight="false" outlineLevel="0" collapsed="false">
      <c r="A10" s="5" t="s">
        <v>21</v>
      </c>
      <c r="B10" s="6" t="n">
        <v>24.51418564</v>
      </c>
      <c r="C10" s="6" t="n">
        <v>0.1305374084</v>
      </c>
      <c r="D10" s="6" t="n">
        <v>0</v>
      </c>
      <c r="E10" s="6" t="n">
        <v>0</v>
      </c>
      <c r="F10" s="6" t="n">
        <f aca="false">SUM(B10:E10)</f>
        <v>24.6447230484</v>
      </c>
    </row>
    <row r="11" customFormat="false" ht="15" hidden="false" customHeight="false" outlineLevel="0" collapsed="false">
      <c r="A11" s="7" t="s">
        <v>14</v>
      </c>
      <c r="B11" s="8" t="n">
        <f aca="false">SUM(B4:B10)</f>
        <v>619.69800471</v>
      </c>
      <c r="C11" s="8" t="n">
        <f aca="false">SUM(C4:C10)</f>
        <v>9.4620449231</v>
      </c>
      <c r="D11" s="8" t="n">
        <f aca="false">SUM(D4:D10)</f>
        <v>0.9547335599</v>
      </c>
      <c r="E11" s="8" t="n">
        <f aca="false">SUM(E4:E10)</f>
        <v>0</v>
      </c>
      <c r="F11" s="8" t="n">
        <f aca="false">SUM(F4:F10)</f>
        <v>630.114783193</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35</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v>56.4088173</v>
      </c>
      <c r="C4" s="6" t="n">
        <v>10.49278447</v>
      </c>
      <c r="D4" s="6" t="n">
        <v>0</v>
      </c>
      <c r="E4" s="6" t="n">
        <v>0</v>
      </c>
      <c r="F4" s="6" t="n">
        <f aca="false">SUM(B4:E4)</f>
        <v>66.90160177</v>
      </c>
    </row>
    <row r="5" customFormat="false" ht="15" hidden="false" customHeight="false" outlineLevel="0" collapsed="false">
      <c r="A5" s="5" t="s">
        <v>16</v>
      </c>
      <c r="B5" s="6" t="n">
        <v>194.8682647</v>
      </c>
      <c r="C5" s="6" t="n">
        <v>19.20411557</v>
      </c>
      <c r="D5" s="6" t="n">
        <v>0.8496253906</v>
      </c>
      <c r="E5" s="6" t="n">
        <v>0</v>
      </c>
      <c r="F5" s="6" t="n">
        <f aca="false">SUM(B5:E5)</f>
        <v>214.9220056606</v>
      </c>
    </row>
    <row r="6" customFormat="false" ht="15" hidden="false" customHeight="false" outlineLevel="0" collapsed="false">
      <c r="A6" s="5" t="s">
        <v>17</v>
      </c>
      <c r="B6" s="6" t="n">
        <v>41.5473595</v>
      </c>
      <c r="C6" s="6" t="n">
        <v>0.7045007323</v>
      </c>
      <c r="D6" s="6" t="n">
        <v>0.06504040527</v>
      </c>
      <c r="E6" s="6" t="n">
        <v>0</v>
      </c>
      <c r="F6" s="6" t="n">
        <f aca="false">SUM(B6:E6)</f>
        <v>42.31690063757</v>
      </c>
    </row>
    <row r="7" customFormat="false" ht="15" hidden="false" customHeight="false" outlineLevel="0" collapsed="false">
      <c r="A7" s="5" t="s">
        <v>18</v>
      </c>
      <c r="B7" s="6" t="n">
        <v>7.355572101</v>
      </c>
      <c r="C7" s="6" t="n">
        <v>0.3914826416</v>
      </c>
      <c r="D7" s="6" t="n">
        <v>0</v>
      </c>
      <c r="E7" s="6" t="n">
        <v>0</v>
      </c>
      <c r="F7" s="6" t="n">
        <f aca="false">SUM(B7:E7)</f>
        <v>7.7470547426</v>
      </c>
    </row>
    <row r="8" customFormat="false" ht="15" hidden="false" customHeight="false" outlineLevel="0" collapsed="false">
      <c r="A8" s="5" t="s">
        <v>19</v>
      </c>
      <c r="B8" s="6" t="n">
        <v>0</v>
      </c>
      <c r="C8" s="6" t="n">
        <v>0</v>
      </c>
      <c r="D8" s="6" t="n">
        <v>0</v>
      </c>
      <c r="E8" s="6" t="n">
        <v>0</v>
      </c>
      <c r="F8" s="6" t="n">
        <f aca="false">SUM(B8:E8)</f>
        <v>0</v>
      </c>
    </row>
    <row r="9" customFormat="false" ht="15" hidden="false" customHeight="false" outlineLevel="0" collapsed="false">
      <c r="A9" s="5" t="s">
        <v>20</v>
      </c>
      <c r="B9" s="6" t="n">
        <v>334.9806748</v>
      </c>
      <c r="C9" s="6" t="n">
        <v>71.02324556</v>
      </c>
      <c r="D9" s="6" t="n">
        <v>21.17557947</v>
      </c>
      <c r="E9" s="6" t="n">
        <v>0.4575988098</v>
      </c>
      <c r="F9" s="6" t="n">
        <f aca="false">SUM(B9:E9)</f>
        <v>427.6370986398</v>
      </c>
    </row>
    <row r="10" customFormat="false" ht="15" hidden="false" customHeight="false" outlineLevel="0" collapsed="false">
      <c r="A10" s="5" t="s">
        <v>21</v>
      </c>
      <c r="B10" s="6" t="n">
        <v>79.85163123</v>
      </c>
      <c r="C10" s="6" t="n">
        <v>5.068081164</v>
      </c>
      <c r="D10" s="6" t="n">
        <v>0</v>
      </c>
      <c r="E10" s="6" t="n">
        <v>0</v>
      </c>
      <c r="F10" s="6" t="n">
        <f aca="false">SUM(B10:E10)</f>
        <v>84.919712394</v>
      </c>
    </row>
    <row r="11" customFormat="false" ht="15" hidden="false" customHeight="false" outlineLevel="0" collapsed="false">
      <c r="A11" s="7" t="s">
        <v>14</v>
      </c>
      <c r="B11" s="8" t="n">
        <f aca="false">SUM(B4:B10)</f>
        <v>715.012319631</v>
      </c>
      <c r="C11" s="8" t="n">
        <f aca="false">SUM(C4:C10)</f>
        <v>106.8842101379</v>
      </c>
      <c r="D11" s="8" t="n">
        <f aca="false">SUM(D4:D10)</f>
        <v>22.09024526587</v>
      </c>
      <c r="E11" s="8" t="n">
        <f aca="false">SUM(E4:E10)</f>
        <v>0.4575988098</v>
      </c>
      <c r="F11" s="8" t="n">
        <f aca="false">SUM(F4:F10)</f>
        <v>844.44437384457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20"/>
  </cols>
  <sheetData>
    <row r="1" customFormat="false" ht="16.15" hidden="false" customHeight="false" outlineLevel="0" collapsed="false">
      <c r="A1" s="3" t="s">
        <v>36</v>
      </c>
      <c r="B1" s="3"/>
      <c r="C1" s="3"/>
      <c r="D1" s="3"/>
      <c r="E1" s="3"/>
      <c r="F1" s="3"/>
    </row>
    <row r="3" customFormat="false" ht="30" hidden="false" customHeight="true" outlineLevel="0" collapsed="false">
      <c r="A3" s="4" t="s">
        <v>9</v>
      </c>
      <c r="B3" s="4" t="s">
        <v>10</v>
      </c>
      <c r="C3" s="4" t="s">
        <v>11</v>
      </c>
      <c r="D3" s="4" t="s">
        <v>12</v>
      </c>
      <c r="E3" s="4" t="s">
        <v>13</v>
      </c>
      <c r="F3" s="4" t="s">
        <v>14</v>
      </c>
    </row>
    <row r="4" customFormat="false" ht="15" hidden="false" customHeight="false" outlineLevel="0" collapsed="false">
      <c r="A4" s="5" t="s">
        <v>15</v>
      </c>
      <c r="B4" s="6" t="n">
        <f aca="false">'2010-2011'!B4+'2011-2012'!B4+'2012-2013'!B4+'2013-2014'!B4+'2014-2015'!B4+'2015-2016'!B4+'2016-2017'!B4+'2017-2018'!B4+'2018-2019'!B4+'2019-2020'!B4+'2020-2021'!B4+'2021-2022'!B4+'2022-2023'!B4+'2023-2024'!B4+'2024-2025'!B4</f>
        <v>2966.83082794</v>
      </c>
      <c r="C4" s="6" t="n">
        <f aca="false">'2010-2011'!C4+'2011-2012'!C4+'2012-2013'!C4+'2013-2014'!C4+'2014-2015'!C4+'2015-2016'!C4+'2016-2017'!C4+'2017-2018'!C4+'2018-2019'!C4+'2019-2020'!C4+'2020-2021'!C4+'2021-2022'!C4+'2022-2023'!C4+'2023-2024'!C4+'2024-2025'!C4</f>
        <v>315.286907092</v>
      </c>
      <c r="D4" s="6" t="n">
        <f aca="false">'2010-2011'!D4+'2011-2012'!D4+'2012-2013'!D4+'2013-2014'!D4+'2014-2015'!D4+'2015-2016'!D4+'2016-2017'!D4+'2017-2018'!D4+'2018-2019'!D4+'2019-2020'!D4+'2020-2021'!D4+'2021-2022'!D4+'2022-2023'!D4+'2023-2024'!D4+'2024-2025'!D4</f>
        <v>24.0614778952</v>
      </c>
      <c r="E4" s="6" t="n">
        <f aca="false">'2010-2011'!E4+'2011-2012'!E4+'2012-2013'!E4+'2013-2014'!E4+'2014-2015'!E4+'2015-2016'!E4+'2016-2017'!E4+'2017-2018'!E4+'2018-2019'!E4+'2019-2020'!E4+'2020-2021'!E4+'2021-2022'!E4+'2022-2023'!E4+'2023-2024'!E4+'2024-2025'!E4</f>
        <v>0.1949048462</v>
      </c>
      <c r="F4" s="6" t="n">
        <f aca="false">SUM(B4:E4)</f>
        <v>3306.3741177734</v>
      </c>
    </row>
    <row r="5" customFormat="false" ht="15" hidden="false" customHeight="false" outlineLevel="0" collapsed="false">
      <c r="A5" s="5" t="s">
        <v>16</v>
      </c>
      <c r="B5" s="6" t="n">
        <f aca="false">'2010-2011'!B5+'2011-2012'!B5+'2012-2013'!B5+'2013-2014'!B5+'2014-2015'!B5+'2015-2016'!B5+'2016-2017'!B5+'2017-2018'!B5+'2018-2019'!B5+'2019-2020'!B5+'2020-2021'!B5+'2021-2022'!B5+'2022-2023'!B5+'2023-2024'!B5+'2024-2025'!B5</f>
        <v>8818.7978514</v>
      </c>
      <c r="C5" s="6" t="n">
        <f aca="false">'2010-2011'!C5+'2011-2012'!C5+'2012-2013'!C5+'2013-2014'!C5+'2014-2015'!C5+'2015-2016'!C5+'2016-2017'!C5+'2017-2018'!C5+'2018-2019'!C5+'2019-2020'!C5+'2020-2021'!C5+'2021-2022'!C5+'2022-2023'!C5+'2023-2024'!C5+'2024-2025'!C5</f>
        <v>704.625264372</v>
      </c>
      <c r="D5" s="6" t="n">
        <f aca="false">'2010-2011'!D5+'2011-2012'!D5+'2012-2013'!D5+'2013-2014'!D5+'2014-2015'!D5+'2015-2016'!D5+'2016-2017'!D5+'2017-2018'!D5+'2018-2019'!D5+'2019-2020'!D5+'2020-2021'!D5+'2021-2022'!D5+'2022-2023'!D5+'2023-2024'!D5+'2024-2025'!D5</f>
        <v>213.6137398324</v>
      </c>
      <c r="E5" s="6" t="n">
        <f aca="false">'2010-2011'!E5+'2011-2012'!E5+'2012-2013'!E5+'2013-2014'!E5+'2014-2015'!E5+'2015-2016'!E5+'2016-2017'!E5+'2017-2018'!E5+'2018-2019'!E5+'2019-2020'!E5+'2020-2021'!E5+'2021-2022'!E5+'2022-2023'!E5+'2023-2024'!E5+'2024-2025'!E5</f>
        <v>6.33916482513</v>
      </c>
      <c r="F5" s="6" t="n">
        <f aca="false">SUM(B5:E5)</f>
        <v>9743.37602042953</v>
      </c>
    </row>
    <row r="6" customFormat="false" ht="15" hidden="false" customHeight="false" outlineLevel="0" collapsed="false">
      <c r="A6" s="5" t="s">
        <v>17</v>
      </c>
      <c r="B6" s="6" t="n">
        <f aca="false">'2010-2011'!B6+'2011-2012'!B6+'2012-2013'!B6+'2013-2014'!B6+'2014-2015'!B6+'2015-2016'!B6+'2016-2017'!B6+'2017-2018'!B6+'2018-2019'!B6+'2019-2020'!B6+'2020-2021'!B6+'2021-2022'!B6+'2022-2023'!B6+'2023-2024'!B6+'2024-2025'!B6</f>
        <v>2922.41602076</v>
      </c>
      <c r="C6" s="6" t="n">
        <f aca="false">'2010-2011'!C6+'2011-2012'!C6+'2012-2013'!C6+'2013-2014'!C6+'2014-2015'!C6+'2015-2016'!C6+'2016-2017'!C6+'2017-2018'!C6+'2018-2019'!C6+'2019-2020'!C6+'2020-2021'!C6+'2021-2022'!C6+'2022-2023'!C6+'2023-2024'!C6+'2024-2025'!C6</f>
        <v>177.8003662218</v>
      </c>
      <c r="D6" s="6" t="n">
        <f aca="false">'2010-2011'!D6+'2011-2012'!D6+'2012-2013'!D6+'2013-2014'!D6+'2014-2015'!D6+'2015-2016'!D6+'2016-2017'!D6+'2017-2018'!D6+'2018-2019'!D6+'2019-2020'!D6+'2020-2021'!D6+'2021-2022'!D6+'2022-2023'!D6+'2023-2024'!D6+'2024-2025'!D6</f>
        <v>35.84553319948</v>
      </c>
      <c r="E6" s="6" t="n">
        <f aca="false">'2010-2011'!E6+'2011-2012'!E6+'2012-2013'!E6+'2013-2014'!E6+'2014-2015'!E6+'2015-2016'!E6+'2016-2017'!E6+'2017-2018'!E6+'2018-2019'!E6+'2019-2020'!E6+'2020-2021'!E6+'2021-2022'!E6+'2022-2023'!E6+'2023-2024'!E6+'2024-2025'!E6</f>
        <v>1.370259583</v>
      </c>
      <c r="F6" s="6" t="n">
        <f aca="false">SUM(B6:E6)</f>
        <v>3137.43217976428</v>
      </c>
    </row>
    <row r="7" customFormat="false" ht="15" hidden="false" customHeight="false" outlineLevel="0" collapsed="false">
      <c r="A7" s="5" t="s">
        <v>18</v>
      </c>
      <c r="B7" s="6" t="n">
        <f aca="false">'2010-2011'!B7+'2011-2012'!B7+'2012-2013'!B7+'2013-2014'!B7+'2014-2015'!B7+'2015-2016'!B7+'2016-2017'!B7+'2017-2018'!B7+'2018-2019'!B7+'2019-2020'!B7+'2020-2021'!B7+'2021-2022'!B7+'2022-2023'!B7+'2023-2024'!B7+'2024-2025'!B7</f>
        <v>693.269702849</v>
      </c>
      <c r="C7" s="6" t="n">
        <f aca="false">'2010-2011'!C7+'2011-2012'!C7+'2012-2013'!C7+'2013-2014'!C7+'2014-2015'!C7+'2015-2016'!C7+'2016-2017'!C7+'2017-2018'!C7+'2018-2019'!C7+'2019-2020'!C7+'2020-2021'!C7+'2021-2022'!C7+'2022-2023'!C7+'2023-2024'!C7+'2024-2025'!C7</f>
        <v>56.270434128613</v>
      </c>
      <c r="D7" s="6" t="n">
        <f aca="false">'2010-2011'!D7+'2011-2012'!D7+'2012-2013'!D7+'2013-2014'!D7+'2014-2015'!D7+'2015-2016'!D7+'2016-2017'!D7+'2017-2018'!D7+'2018-2019'!D7+'2019-2020'!D7+'2020-2021'!D7+'2021-2022'!D7+'2022-2023'!D7+'2023-2024'!D7+'2024-2025'!D7</f>
        <v>12.5634589191</v>
      </c>
      <c r="E7" s="6" t="n">
        <f aca="false">'2010-2011'!E7+'2011-2012'!E7+'2012-2013'!E7+'2013-2014'!E7+'2014-2015'!E7+'2015-2016'!E7+'2016-2017'!E7+'2017-2018'!E7+'2018-2019'!E7+'2019-2020'!E7+'2020-2021'!E7+'2021-2022'!E7+'2022-2023'!E7+'2023-2024'!E7+'2024-2025'!E7</f>
        <v>0.1305514771</v>
      </c>
      <c r="F7" s="6" t="n">
        <f aca="false">SUM(B7:E7)</f>
        <v>762.234147373813</v>
      </c>
    </row>
    <row r="8" customFormat="false" ht="15" hidden="false" customHeight="false" outlineLevel="0" collapsed="false">
      <c r="A8" s="5" t="s">
        <v>19</v>
      </c>
      <c r="B8" s="6" t="n">
        <f aca="false">'2010-2011'!B8+'2011-2012'!B8+'2012-2013'!B8+'2013-2014'!B8+'2014-2015'!B8+'2015-2016'!B8+'2016-2017'!B8+'2017-2018'!B8+'2018-2019'!B8+'2019-2020'!B8+'2020-2021'!B8+'2021-2022'!B8+'2022-2023'!B8+'2023-2024'!B8+'2024-2025'!B8</f>
        <v>0</v>
      </c>
      <c r="C8" s="6" t="n">
        <f aca="false">'2010-2011'!C8+'2011-2012'!C8+'2012-2013'!C8+'2013-2014'!C8+'2014-2015'!C8+'2015-2016'!C8+'2016-2017'!C8+'2017-2018'!C8+'2018-2019'!C8+'2019-2020'!C8+'2020-2021'!C8+'2021-2022'!C8+'2022-2023'!C8+'2023-2024'!C8+'2024-2025'!C8</f>
        <v>0</v>
      </c>
      <c r="D8" s="6" t="n">
        <f aca="false">'2010-2011'!D8+'2011-2012'!D8+'2012-2013'!D8+'2013-2014'!D8+'2014-2015'!D8+'2015-2016'!D8+'2016-2017'!D8+'2017-2018'!D8+'2018-2019'!D8+'2019-2020'!D8+'2020-2021'!D8+'2021-2022'!D8+'2022-2023'!D8+'2023-2024'!D8+'2024-2025'!D8</f>
        <v>0</v>
      </c>
      <c r="E8" s="6" t="n">
        <f aca="false">'2010-2011'!E8+'2011-2012'!E8+'2012-2013'!E8+'2013-2014'!E8+'2014-2015'!E8+'2015-2016'!E8+'2016-2017'!E8+'2017-2018'!E8+'2018-2019'!E8+'2019-2020'!E8+'2020-2021'!E8+'2021-2022'!E8+'2022-2023'!E8+'2023-2024'!E8+'2024-2025'!E8</f>
        <v>0</v>
      </c>
      <c r="F8" s="6" t="n">
        <f aca="false">SUM(B8:E8)</f>
        <v>0</v>
      </c>
    </row>
    <row r="9" customFormat="false" ht="15" hidden="false" customHeight="false" outlineLevel="0" collapsed="false">
      <c r="A9" s="5" t="s">
        <v>20</v>
      </c>
      <c r="B9" s="6" t="n">
        <f aca="false">'2010-2011'!B9+'2011-2012'!B9+'2012-2013'!B9+'2013-2014'!B9+'2014-2015'!B9+'2015-2016'!B9+'2016-2017'!B9+'2017-2018'!B9+'2018-2019'!B9+'2019-2020'!B9+'2020-2021'!B9+'2021-2022'!B9+'2022-2023'!B9+'2023-2024'!B9+'2024-2025'!B9</f>
        <v>20242.2126751</v>
      </c>
      <c r="C9" s="6" t="n">
        <f aca="false">'2010-2011'!C9+'2011-2012'!C9+'2012-2013'!C9+'2013-2014'!C9+'2014-2015'!C9+'2015-2016'!C9+'2016-2017'!C9+'2017-2018'!C9+'2018-2019'!C9+'2019-2020'!C9+'2020-2021'!C9+'2021-2022'!C9+'2022-2023'!C9+'2023-2024'!C9+'2024-2025'!C9</f>
        <v>1039.412136495</v>
      </c>
      <c r="D9" s="6" t="n">
        <f aca="false">'2010-2011'!D9+'2011-2012'!D9+'2012-2013'!D9+'2013-2014'!D9+'2014-2015'!D9+'2015-2016'!D9+'2016-2017'!D9+'2017-2018'!D9+'2018-2019'!D9+'2019-2020'!D9+'2020-2021'!D9+'2021-2022'!D9+'2022-2023'!D9+'2023-2024'!D9+'2024-2025'!D9</f>
        <v>107.08499752365</v>
      </c>
      <c r="E9" s="6" t="n">
        <f aca="false">'2010-2011'!E9+'2011-2012'!E9+'2012-2013'!E9+'2013-2014'!E9+'2014-2015'!E9+'2015-2016'!E9+'2016-2017'!E9+'2017-2018'!E9+'2018-2019'!E9+'2019-2020'!E9+'2020-2021'!E9+'2021-2022'!E9+'2022-2023'!E9+'2023-2024'!E9+'2024-2025'!E9</f>
        <v>1.5004883322</v>
      </c>
      <c r="F9" s="6" t="n">
        <f aca="false">SUM(B9:E9)</f>
        <v>21390.2102974509</v>
      </c>
    </row>
    <row r="10" customFormat="false" ht="15" hidden="false" customHeight="false" outlineLevel="0" collapsed="false">
      <c r="A10" s="5" t="s">
        <v>21</v>
      </c>
      <c r="B10" s="6" t="n">
        <f aca="false">'2010-2011'!B10+'2011-2012'!B10+'2012-2013'!B10+'2013-2014'!B10+'2014-2015'!B10+'2015-2016'!B10+'2016-2017'!B10+'2017-2018'!B10+'2018-2019'!B10+'2019-2020'!B10+'2020-2021'!B10+'2021-2022'!B10+'2022-2023'!B10+'2023-2024'!B10+'2024-2025'!B10</f>
        <v>3407.19732909</v>
      </c>
      <c r="C10" s="6" t="n">
        <f aca="false">'2010-2011'!C10+'2011-2012'!C10+'2012-2013'!C10+'2013-2014'!C10+'2014-2015'!C10+'2015-2016'!C10+'2016-2017'!C10+'2017-2018'!C10+'2018-2019'!C10+'2019-2020'!C10+'2020-2021'!C10+'2021-2022'!C10+'2022-2023'!C10+'2023-2024'!C10+'2024-2025'!C10</f>
        <v>268.1531031504</v>
      </c>
      <c r="D10" s="6" t="n">
        <f aca="false">'2010-2011'!D10+'2011-2012'!D10+'2012-2013'!D10+'2013-2014'!D10+'2014-2015'!D10+'2015-2016'!D10+'2016-2017'!D10+'2017-2018'!D10+'2018-2019'!D10+'2019-2020'!D10+'2020-2021'!D10+'2021-2022'!D10+'2022-2023'!D10+'2023-2024'!D10+'2024-2025'!D10</f>
        <v>72.4956687733</v>
      </c>
      <c r="E10" s="6" t="n">
        <f aca="false">'2010-2011'!E10+'2011-2012'!E10+'2012-2013'!E10+'2013-2014'!E10+'2014-2015'!E10+'2015-2016'!E10+'2016-2017'!E10+'2017-2018'!E10+'2018-2019'!E10+'2019-2020'!E10+'2020-2021'!E10+'2021-2022'!E10+'2022-2023'!E10+'2023-2024'!E10+'2024-2025'!E10</f>
        <v>0.5874936951</v>
      </c>
      <c r="F10" s="6" t="n">
        <f aca="false">SUM(B10:E10)</f>
        <v>3748.4335947088</v>
      </c>
    </row>
    <row r="11" customFormat="false" ht="15" hidden="false" customHeight="false" outlineLevel="0" collapsed="false">
      <c r="A11" s="7" t="s">
        <v>14</v>
      </c>
      <c r="B11" s="8" t="n">
        <f aca="false">SUM(B4:B10)</f>
        <v>39050.724407139</v>
      </c>
      <c r="C11" s="8" t="n">
        <f aca="false">SUM(C4:C10)</f>
        <v>2561.54821145981</v>
      </c>
      <c r="D11" s="8" t="n">
        <f aca="false">SUM(D4:D10)</f>
        <v>465.66487614313</v>
      </c>
      <c r="E11" s="8" t="n">
        <f aca="false">SUM(E4:E10)</f>
        <v>10.12286275873</v>
      </c>
      <c r="F11" s="8" t="n">
        <f aca="false">SUM(F4:F10)</f>
        <v>42088.0603575007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2026-08-28T07:23:48Z</dcterms:created>
  <dc:creator>openpyxl</dc:creator>
  <dc:description/>
  <dc:language>en-US</dc:language>
  <cp:lastModifiedBy/>
  <dcterms:modified xsi:type="dcterms:W3CDTF">2026-08-28T07:23:48Z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