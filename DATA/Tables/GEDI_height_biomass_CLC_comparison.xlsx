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ight_classification" sheetId="1" state="visible" r:id="rId3"/>
    <sheet name="CLC_x_HeightClas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<sst xmlns="http://schemas.openxmlformats.org/spreadsheetml/2006/main" count="80" uniqueCount="70">
  <si>
    <t xml:space="preserve">GEDI canopy-height classification, area and biomass -- 25 forest massifs, Provence</t>
  </si>
  <si>
    <t xml:space="preserve">Source: Potapov et al. (2021) GEDI+Landsat 30 m canopy-height product (GEE asset projects/sat-io/open-datasets/GLAD/GEDI_V27), classified into 5 height bins, zonal statistics via Google Earth Engine over the massifs shapefile. See the Notes sheet for the full classification scheme, sources and caveats.</t>
  </si>
  <si>
    <t xml:space="preserve">Class</t>
  </si>
  <si>
    <t xml:space="preserve">Height range</t>
  </si>
  <si>
    <t xml:space="preserve">Description</t>
  </si>
  <si>
    <t xml:space="preserve">Area (ha)</t>
  </si>
  <si>
    <t xml:space="preserve">% of total area</t>
  </si>
  <si>
    <t xml:space="preserve">Mean AGBD (Mg/ha)</t>
  </si>
  <si>
    <t xml:space="preserve">Area with GEDI L4A biomass data (ha)</t>
  </si>
  <si>
    <t xml:space="preserve">Estimated biomass volume (Mg)</t>
  </si>
  <si>
    <t xml:space="preserve">Class 1</t>
  </si>
  <si>
    <t xml:space="preserve">0-2 m</t>
  </si>
  <si>
    <t xml:space="preserve">Herbaceous / grassland / bare</t>
  </si>
  <si>
    <t xml:space="preserve">Class 2</t>
  </si>
  <si>
    <t xml:space="preserve">2-5 m</t>
  </si>
  <si>
    <t xml:space="preserve">Shrubland (maquis/garrigue) - below FAO forest threshold</t>
  </si>
  <si>
    <t xml:space="preserve">Class 3</t>
  </si>
  <si>
    <t xml:space="preserve">5-10 m</t>
  </si>
  <si>
    <t xml:space="preserve">Open/young forest - at/above FAO forest threshold</t>
  </si>
  <si>
    <t xml:space="preserve">Class 4</t>
  </si>
  <si>
    <t xml:space="preserve">10-20 m</t>
  </si>
  <si>
    <t xml:space="preserve">Mature forest</t>
  </si>
  <si>
    <t xml:space="preserve">Class 5</t>
  </si>
  <si>
    <t xml:space="preserve">&gt;20 m</t>
  </si>
  <si>
    <t xml:space="preserve">Tall/dense forest</t>
  </si>
  <si>
    <t xml:space="preserve">Total</t>
  </si>
  <si>
    <t xml:space="preserve">CLC2018 vegetation type x GEDI canopy-height class -- area (ha)</t>
  </si>
  <si>
    <t xml:space="preserve">Cross-tabulation of CLC2018 (CORINE Land Cover) vegetation classes 311-324 against the 5 GEDI canopy-height classes, area in hectares. Compares the 2018 land-cover label against structure actually measured by the GEDI-based canopy-height product. See the Notes sheet for CLC class codes and sources.</t>
  </si>
  <si>
    <t xml:space="preserve">CLC code</t>
  </si>
  <si>
    <t xml:space="preserve">CLC label</t>
  </si>
  <si>
    <t xml:space="preserve">Class 1 (0-2m)</t>
  </si>
  <si>
    <t xml:space="preserve">Class 2 (2-5m)</t>
  </si>
  <si>
    <t xml:space="preserve">Class 3 (5-10m)</t>
  </si>
  <si>
    <t xml:space="preserve">Class 4 (10-20m)</t>
  </si>
  <si>
    <t xml:space="preserve">Class 5 (&gt;20m)</t>
  </si>
  <si>
    <t xml:space="preserve">Total (ha)</t>
  </si>
  <si>
    <t xml:space="preserve">Broad-leaved forest</t>
  </si>
  <si>
    <t xml:space="preserve">Coniferous forest</t>
  </si>
  <si>
    <t xml:space="preserve">Mixed forest</t>
  </si>
  <si>
    <t xml:space="preserve">Natural grasslands</t>
  </si>
  <si>
    <t xml:space="preserve">Moors and heathland</t>
  </si>
  <si>
    <t xml:space="preserve">Sclerophyllous vegetation (maquis/garrigue)</t>
  </si>
  <si>
    <t xml:space="preserve">Transitional woodland-shrub</t>
  </si>
  <si>
    <t xml:space="preserve">All vegetation classes (311-324)</t>
  </si>
  <si>
    <t xml:space="preserve">% of area &gt;=5 m tall (FAO forest-height threshold), by CLC class</t>
  </si>
  <si>
    <t xml:space="preserve">% &lt;5 m (classes 1-2)</t>
  </si>
  <si>
    <t xml:space="preserve">% &gt;=5 m (classes 3-5)</t>
  </si>
  <si>
    <t xml:space="preserve">Methodology &amp; sources</t>
  </si>
  <si>
    <t xml:space="preserve">Study area</t>
  </si>
  <si>
    <t xml:space="preserve">25 forest massifs of Provence (Bouches-du-Rhone), same shapefile (MASSIFS_FORESTIERS_S_013) used throughout this study.</t>
  </si>
  <si>
    <t xml:space="preserve">Canopy height source</t>
  </si>
  <si>
    <t xml:space="preserve">Potapov, P. et al. (2021), 'Mapping global forest canopy height through integration of GEDI and Landsat data', Remote Sensing of Environment 253:112165. 30 m global product, GEE asset projects/sat-io/open-datasets/GLAD/GEDI_V27 (band 'b1' = height in metres), mosaicked and clipped to the study area.</t>
  </si>
  <si>
    <t xml:space="preserve">Height classification scheme</t>
  </si>
  <si>
    <t xml:space="preserve">5 classes: 0-2 m (herbaceous/grassland/bare), 2-5 m (shrubland - maquis/garrigue), 5-10 m (open/young forest), 10-20 m (mature forest), &gt;20 m (tall/dense forest). The 2/3 class boundary at exactly 5 m is the FAO forest-height threshold (FAO Global Forest Resources Assessment; also the reference threshold in the IPCC 2006 GHG Inventory Guidelines, Vol. 4): land qualifies as forest only if trees can reach &gt;=5 m height at maturity with &gt;10% crown cover. The other bin edges (2 m, 10 m, 20 m) are practical structural bins commonly used in canopy-height remote-sensing classification and are not attributed to a specific named source.</t>
  </si>
  <si>
    <t xml:space="preserve">Area per class</t>
  </si>
  <si>
    <t xml:space="preserve">Zonal sum of pixel area (Earth Engine reduceRegion, grouped sum reducer, 30 m scale, EPSG:2154) over the full classified extent -- GEDI_area_by_heightclass.csv.</t>
  </si>
  <si>
    <t xml:space="preserve">Biomass source</t>
  </si>
  <si>
    <t xml:space="preserve">Duncanson, L. et al. (2022), 'Aboveground biomass density models for the NASA GEDI lidar mission', Remote Sensing of Environment 270:112845. GEDI L4A product (LARSE/GEDI/GEDI04_A_002_MONTHLY, band 'agbd', Mg/ha), filtered to l4_quality_flag == 1, averaged across all available monthly composites, zonal mean/count/sum per height class -- GEDI_biomass_by_heightclass.csv.</t>
  </si>
  <si>
    <t xml:space="preserve">Biomass coverage caveat</t>
  </si>
  <si>
    <t xml:space="preserve">The GEDI L4A biomass product is a sparser, lidar-shot-derived grid than the continuous Potapov canopy-height product. The 'Area with GEDI L4A biomass data (ha)' column in Height_classification therefore covers a smaller extent than the full class area (e.g. class 3: ~7,429 ha with valid AGBD vs ~80,052 ha in the full classification) -- the mean AGBD and estimated biomass volume are only representative of that covered subset, not extrapolated to the full class extent.</t>
  </si>
  <si>
    <t xml:space="preserve">Estimated biomass volume</t>
  </si>
  <si>
    <t xml:space="preserve">Computed as mean AGBD (Mg/ha) x area with valid GEDI L4A data (ha) for each class -- a formula in the workbook, not a hardcoded figure. This is a coverage-limited estimate (see caveat above), not a full-extent total.</t>
  </si>
  <si>
    <t xml:space="preserve">CLC2018 vegetation classes</t>
  </si>
  <si>
    <t xml:space="preserve">CORINE Land Cover 2018 (COPERNICUS/CORINE/V20/100m/2018), codes 311 (broad-leaved forest), 312 (coniferous forest), 313 (mixed forest), 321 (natural grasslands), 322 (moors and heathland), 323 (sclerophyllous vegetation / maquis-garrigue), 324 (transitional woodland-shrub) -- CLC Level-2 groups 3.1 'Forests' and 3.2 'Shrub and/or herbaceous vegetation associations', same convention as the earlier dNBR x CLC2018 cross-tabulation in this study. CLC code 322 had zero pixels in this study area and is shown as 0 for completeness.</t>
  </si>
  <si>
    <t xml:space="preserve">CLC x height cross-tab</t>
  </si>
  <si>
    <t xml:space="preserve">Zonal sum of pixel area grouped by (CLC vegetation class x GEDI height class), Earth Engine reduceRegion, 30 m scale, EPSG:2154 -- CLC_x_heightclass.csv.</t>
  </si>
  <si>
    <t xml:space="preserve">Rasters downloaded to Drive</t>
  </si>
  <si>
    <t xml:space="preserve">GEDI_canopy_height.tif (continuous height, m) and GEDI_height_classification.tif (5-class raster) -- Drive folder GEE_exports_GEDI_height, 30 m, EPSG:2154, same convention as the NDVI/NDMI/SAVI and dNBR exports in this study.</t>
  </si>
  <si>
    <t xml:space="preserve">Data provenance</t>
  </si>
  <si>
    <t xml:space="preserve">All area, count and mean-AGBD figures in this workbook are hardcoded from the three GEE zonal-statistics CSV exports named above (Google Earth Engine, project hale-dynamo-473013-s7, exported 30 Aug 2026); every percentage, total and the estimated-biomass-volume column are formulas computed from them within this workbook.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</si>
</sst>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.0000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04281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5598E7"/>
      <rgbColor rgb="FF993366"/>
      <rgbColor rgb="FFFFFFCC"/>
      <rgbColor rgb="FFD9E2F3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6B6E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95959"/>
      <rgbColor rgb="FF969696"/>
      <rgbColor rgb="FF104281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above-ground biomass density (GEDI L4A) by height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Height_classification!F4</c:f>
              <c:strCache>
                <c:ptCount val="1"/>
                <c:pt idx="0">
                  <c:v>Mean AGBD (Mg/ha)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Height_classification!$A$5:$A$9</c:f>
              <c:strCache>
                <c:ptCount val="5"/>
                <c:pt idx="0">
                  <c:v>Class 1</c:v>
                </c:pt>
                <c:pt idx="1">
                  <c:v>Class 2</c:v>
                </c:pt>
                <c:pt idx="2">
                  <c:v>Class 3</c:v>
                </c:pt>
                <c:pt idx="3">
                  <c:v>Class 4</c:v>
                </c:pt>
                <c:pt idx="4">
                  <c:v>Class 5</c:v>
                </c:pt>
              </c:strCache>
            </c:strRef>
          </c:cat>
          <c:val>
            <c:numRef>
              <c:f>Height_classification!$F$5:$F$9</c:f>
              <c:numCache>
                <c:formatCode>0.0000</c:formatCode>
                <c:ptCount val="5"/>
                <c:pt idx="0">
                  <c:v>54.5651</c:v>
                </c:pt>
                <c:pt idx="1">
                  <c:v>47.775</c:v>
                </c:pt>
                <c:pt idx="2">
                  <c:v>63.5326</c:v>
                </c:pt>
                <c:pt idx="3">
                  <c:v>81.3919</c:v>
                </c:pt>
                <c:pt idx="4">
                  <c:v>67.7836</c:v>
                </c:pt>
              </c:numCache>
            </c:numRef>
          </c:val>
        </c:ser>
        <c:gapWidth val="150"/>
        <c:overlap val="0"/>
        <c:axId val="38269175"/>
        <c:axId val="38163888"/>
      </c:barChart>
      <c:catAx>
        <c:axId val="382691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Height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63888"/>
        <c:crosses val="autoZero"/>
        <c:auto val="1"/>
        <c:lblAlgn val="ctr"/>
        <c:lblOffset val="100"/>
        <c:noMultiLvlLbl val="0"/>
      </c:catAx>
      <c:valAx>
        <c:axId val="38163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Mean AGBD (Mg/ha)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691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Area (ha) per CLC2018 vegetation class, by GEDI height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CLC_x_HeightClass!C4</c:f>
              <c:strCache>
                <c:ptCount val="1"/>
                <c:pt idx="0">
                  <c:v>Class 1 (0-2m)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CLC_x_HeightClass!$B$5:$B$11</c:f>
              <c:strCache>
                <c:ptCount val="7"/>
                <c:pt idx="0">
                  <c:v>Broad-leaved forest</c:v>
                </c:pt>
                <c:pt idx="1">
                  <c:v>Coniferous forest</c:v>
                </c:pt>
                <c:pt idx="2">
                  <c:v>Mixed forest</c:v>
                </c:pt>
                <c:pt idx="3">
                  <c:v>Natural grasslands</c:v>
                </c:pt>
                <c:pt idx="4">
                  <c:v>Moors and heathland</c:v>
                </c:pt>
                <c:pt idx="5">
                  <c:v>Sclerophyllous vegetation (maquis/garrigue)</c:v>
                </c:pt>
                <c:pt idx="6">
                  <c:v>Transitional woodland-shrub</c:v>
                </c:pt>
              </c:strCache>
            </c:strRef>
          </c:cat>
          <c:val>
            <c:numRef>
              <c:f>CLC_x_HeightClass!$C$5:$C$11</c:f>
              <c:numCache>
                <c:formatCode>#,##0.00</c:formatCode>
                <c:ptCount val="7"/>
                <c:pt idx="0">
                  <c:v>432.49</c:v>
                </c:pt>
                <c:pt idx="1">
                  <c:v>1888.81</c:v>
                </c:pt>
                <c:pt idx="2">
                  <c:v>406.26</c:v>
                </c:pt>
                <c:pt idx="3">
                  <c:v>583.72</c:v>
                </c:pt>
                <c:pt idx="4">
                  <c:v>0</c:v>
                </c:pt>
                <c:pt idx="5">
                  <c:v>12284.41</c:v>
                </c:pt>
                <c:pt idx="6">
                  <c:v>1379.62</c:v>
                </c:pt>
              </c:numCache>
            </c:numRef>
          </c:val>
        </c:ser>
        <c:ser>
          <c:idx val="1"/>
          <c:order val="1"/>
          <c:tx>
            <c:strRef>
              <c:f>CLC_x_HeightClass!D4</c:f>
              <c:strCache>
                <c:ptCount val="1"/>
                <c:pt idx="0">
                  <c:v>Class 2 (2-5m)</c:v>
                </c:pt>
              </c:strCache>
            </c:strRef>
          </c:tx>
          <c:spPr>
            <a:solidFill>
              <a:srgbClr val="5598e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CLC_x_HeightClass!$B$5:$B$11</c:f>
              <c:strCache>
                <c:ptCount val="7"/>
                <c:pt idx="0">
                  <c:v>Broad-leaved forest</c:v>
                </c:pt>
                <c:pt idx="1">
                  <c:v>Coniferous forest</c:v>
                </c:pt>
                <c:pt idx="2">
                  <c:v>Mixed forest</c:v>
                </c:pt>
                <c:pt idx="3">
                  <c:v>Natural grasslands</c:v>
                </c:pt>
                <c:pt idx="4">
                  <c:v>Moors and heathland</c:v>
                </c:pt>
                <c:pt idx="5">
                  <c:v>Sclerophyllous vegetation (maquis/garrigue)</c:v>
                </c:pt>
                <c:pt idx="6">
                  <c:v>Transitional woodland-shrub</c:v>
                </c:pt>
              </c:strCache>
            </c:strRef>
          </c:cat>
          <c:val>
            <c:numRef>
              <c:f>CLC_x_HeightClass!$D$5:$D$11</c:f>
              <c:numCache>
                <c:formatCode>#,##0.00</c:formatCode>
                <c:ptCount val="7"/>
                <c:pt idx="0">
                  <c:v>2313.67</c:v>
                </c:pt>
                <c:pt idx="1">
                  <c:v>3145.26</c:v>
                </c:pt>
                <c:pt idx="2">
                  <c:v>1230.37</c:v>
                </c:pt>
                <c:pt idx="3">
                  <c:v>390.68</c:v>
                </c:pt>
                <c:pt idx="4">
                  <c:v>0</c:v>
                </c:pt>
                <c:pt idx="5">
                  <c:v>18110.22</c:v>
                </c:pt>
                <c:pt idx="6">
                  <c:v>3006.33</c:v>
                </c:pt>
              </c:numCache>
            </c:numRef>
          </c:val>
        </c:ser>
        <c:ser>
          <c:idx val="2"/>
          <c:order val="2"/>
          <c:tx>
            <c:strRef>
              <c:f>CLC_x_HeightClass!E4</c:f>
              <c:strCache>
                <c:ptCount val="1"/>
                <c:pt idx="0">
                  <c:v>Class 3 (5-10m)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CLC_x_HeightClass!$B$5:$B$11</c:f>
              <c:strCache>
                <c:ptCount val="7"/>
                <c:pt idx="0">
                  <c:v>Broad-leaved forest</c:v>
                </c:pt>
                <c:pt idx="1">
                  <c:v>Coniferous forest</c:v>
                </c:pt>
                <c:pt idx="2">
                  <c:v>Mixed forest</c:v>
                </c:pt>
                <c:pt idx="3">
                  <c:v>Natural grasslands</c:v>
                </c:pt>
                <c:pt idx="4">
                  <c:v>Moors and heathland</c:v>
                </c:pt>
                <c:pt idx="5">
                  <c:v>Sclerophyllous vegetation (maquis/garrigue)</c:v>
                </c:pt>
                <c:pt idx="6">
                  <c:v>Transitional woodland-shrub</c:v>
                </c:pt>
              </c:strCache>
            </c:strRef>
          </c:cat>
          <c:val>
            <c:numRef>
              <c:f>CLC_x_HeightClass!$E$5:$E$11</c:f>
              <c:numCache>
                <c:formatCode>#,##0.00</c:formatCode>
                <c:ptCount val="7"/>
                <c:pt idx="0">
                  <c:v>10125.96</c:v>
                </c:pt>
                <c:pt idx="1">
                  <c:v>20527.4</c:v>
                </c:pt>
                <c:pt idx="2">
                  <c:v>8019.85</c:v>
                </c:pt>
                <c:pt idx="3">
                  <c:v>626.26</c:v>
                </c:pt>
                <c:pt idx="4">
                  <c:v>0</c:v>
                </c:pt>
                <c:pt idx="5">
                  <c:v>25295.24</c:v>
                </c:pt>
                <c:pt idx="6">
                  <c:v>5075.13</c:v>
                </c:pt>
              </c:numCache>
            </c:numRef>
          </c:val>
        </c:ser>
        <c:ser>
          <c:idx val="3"/>
          <c:order val="3"/>
          <c:tx>
            <c:strRef>
              <c:f>CLC_x_HeightClass!F4</c:f>
              <c:strCache>
                <c:ptCount val="1"/>
                <c:pt idx="0">
                  <c:v>Class 4 (10-20m)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CLC_x_HeightClass!$B$5:$B$11</c:f>
              <c:strCache>
                <c:ptCount val="7"/>
                <c:pt idx="0">
                  <c:v>Broad-leaved forest</c:v>
                </c:pt>
                <c:pt idx="1">
                  <c:v>Coniferous forest</c:v>
                </c:pt>
                <c:pt idx="2">
                  <c:v>Mixed forest</c:v>
                </c:pt>
                <c:pt idx="3">
                  <c:v>Natural grasslands</c:v>
                </c:pt>
                <c:pt idx="4">
                  <c:v>Moors and heathland</c:v>
                </c:pt>
                <c:pt idx="5">
                  <c:v>Sclerophyllous vegetation (maquis/garrigue)</c:v>
                </c:pt>
                <c:pt idx="6">
                  <c:v>Transitional woodland-shrub</c:v>
                </c:pt>
              </c:strCache>
            </c:strRef>
          </c:cat>
          <c:val>
            <c:numRef>
              <c:f>CLC_x_HeightClass!$F$5:$F$11</c:f>
              <c:numCache>
                <c:formatCode>#,##0.00</c:formatCode>
                <c:ptCount val="7"/>
                <c:pt idx="0">
                  <c:v>3515.35</c:v>
                </c:pt>
                <c:pt idx="1">
                  <c:v>11812.52</c:v>
                </c:pt>
                <c:pt idx="2">
                  <c:v>4293.5</c:v>
                </c:pt>
                <c:pt idx="3">
                  <c:v>114.68</c:v>
                </c:pt>
                <c:pt idx="4">
                  <c:v>0</c:v>
                </c:pt>
                <c:pt idx="5">
                  <c:v>3953.06</c:v>
                </c:pt>
                <c:pt idx="6">
                  <c:v>1038.37</c:v>
                </c:pt>
              </c:numCache>
            </c:numRef>
          </c:val>
        </c:ser>
        <c:ser>
          <c:idx val="4"/>
          <c:order val="4"/>
          <c:tx>
            <c:strRef>
              <c:f>CLC_x_HeightClass!G4</c:f>
              <c:strCache>
                <c:ptCount val="1"/>
                <c:pt idx="0">
                  <c:v>Class 5 (&gt;20m)</c:v>
                </c:pt>
              </c:strCache>
            </c:strRef>
          </c:tx>
          <c:spPr>
            <a:solidFill>
              <a:srgbClr val="10428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CLC_x_HeightClass!$B$5:$B$11</c:f>
              <c:strCache>
                <c:ptCount val="7"/>
                <c:pt idx="0">
                  <c:v>Broad-leaved forest</c:v>
                </c:pt>
                <c:pt idx="1">
                  <c:v>Coniferous forest</c:v>
                </c:pt>
                <c:pt idx="2">
                  <c:v>Mixed forest</c:v>
                </c:pt>
                <c:pt idx="3">
                  <c:v>Natural grasslands</c:v>
                </c:pt>
                <c:pt idx="4">
                  <c:v>Moors and heathland</c:v>
                </c:pt>
                <c:pt idx="5">
                  <c:v>Sclerophyllous vegetation (maquis/garrigue)</c:v>
                </c:pt>
                <c:pt idx="6">
                  <c:v>Transitional woodland-shrub</c:v>
                </c:pt>
              </c:strCache>
            </c:strRef>
          </c:cat>
          <c:val>
            <c:numRef>
              <c:f>CLC_x_HeightClass!$G$5:$G$11</c:f>
              <c:numCache>
                <c:formatCode>#,##0.00</c:formatCode>
                <c:ptCount val="7"/>
                <c:pt idx="0">
                  <c:v>394.61</c:v>
                </c:pt>
                <c:pt idx="1">
                  <c:v>58.93</c:v>
                </c:pt>
                <c:pt idx="2">
                  <c:v>122.84</c:v>
                </c:pt>
                <c:pt idx="3">
                  <c:v>0.13</c:v>
                </c:pt>
                <c:pt idx="4">
                  <c:v>0</c:v>
                </c:pt>
                <c:pt idx="5">
                  <c:v>53.76</c:v>
                </c:pt>
                <c:pt idx="6">
                  <c:v>14.12</c:v>
                </c:pt>
              </c:numCache>
            </c:numRef>
          </c:val>
        </c:ser>
        <c:gapWidth val="150"/>
        <c:overlap val="100"/>
        <c:axId val="33964667"/>
        <c:axId val="80968605"/>
      </c:barChart>
      <c:catAx>
        <c:axId val="339646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CLC2018 vegetation class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68605"/>
        <c:crosses val="autoZero"/>
        <c:auto val="1"/>
        <c:lblAlgn val="ctr"/>
        <c:lblOffset val="100"/>
        <c:noMultiLvlLbl val="0"/>
      </c:catAx>
      <c:valAx>
        <c:axId val="809686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Area (ha)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646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175680</xdr:rowOff>
    </xdr:from>
    <xdr:to>
      <xdr:col>4</xdr:col>
      <xdr:colOff>402840</xdr:colOff>
      <xdr:row>28</xdr:row>
      <xdr:rowOff>176760</xdr:rowOff>
    </xdr:to>
    <xdr:graphicFrame>
      <xdr:nvGraphicFramePr>
        <xdr:cNvPr id="0" name="Chart 1"/>
        <xdr:cNvGraphicFramePr/>
      </xdr:nvGraphicFramePr>
      <xdr:xfrm>
        <a:off x="0" y="2790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63720</xdr:rowOff>
    </xdr:from>
    <xdr:to>
      <xdr:col>7</xdr:col>
      <xdr:colOff>95760</xdr:colOff>
      <xdr:row>39</xdr:row>
      <xdr:rowOff>43560</xdr:rowOff>
    </xdr:to>
    <xdr:graphicFrame>
      <xdr:nvGraphicFramePr>
        <xdr:cNvPr id="1" name="Chart 1"/>
        <xdr:cNvGraphicFramePr/>
      </xdr:nvGraphicFramePr>
      <xdr:xfrm>
        <a:off x="0" y="45054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16.1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s">
        <v>11</v>
      </c>
      <c r="C5" s="5" t="s">
        <v>12</v>
      </c>
      <c r="D5" s="6" t="n">
        <v>29931.5</v>
      </c>
      <c r="E5" s="7" t="n">
        <f aca="false">D5/D$10</f>
        <v>0.175056367021408</v>
      </c>
      <c r="F5" s="8" t="n">
        <v>54.5651</v>
      </c>
      <c r="G5" s="6" t="n">
        <v>2149.35</v>
      </c>
      <c r="H5" s="9" t="n">
        <f aca="false">F5*G5</f>
        <v>117279.497685</v>
      </c>
    </row>
    <row r="6" customFormat="false" ht="15" hidden="false" customHeight="false" outlineLevel="0" collapsed="false">
      <c r="A6" s="4" t="s">
        <v>13</v>
      </c>
      <c r="B6" s="5" t="s">
        <v>14</v>
      </c>
      <c r="C6" s="5" t="s">
        <v>15</v>
      </c>
      <c r="D6" s="6" t="n">
        <v>33557.23</v>
      </c>
      <c r="E6" s="7" t="n">
        <f aca="false">D6/D$10</f>
        <v>0.196261689895321</v>
      </c>
      <c r="F6" s="8" t="n">
        <v>47.775</v>
      </c>
      <c r="G6" s="6" t="n">
        <v>2634.27</v>
      </c>
      <c r="H6" s="9" t="n">
        <f aca="false">F6*G6</f>
        <v>125852.24925</v>
      </c>
    </row>
    <row r="7" customFormat="false" ht="15" hidden="false" customHeight="false" outlineLevel="0" collapsed="false">
      <c r="A7" s="4" t="s">
        <v>16</v>
      </c>
      <c r="B7" s="5" t="s">
        <v>17</v>
      </c>
      <c r="C7" s="5" t="s">
        <v>18</v>
      </c>
      <c r="D7" s="6" t="n">
        <v>80052.32</v>
      </c>
      <c r="E7" s="7" t="n">
        <f aca="false">D7/D$10</f>
        <v>0.468191313861155</v>
      </c>
      <c r="F7" s="8" t="n">
        <v>63.5326</v>
      </c>
      <c r="G7" s="6" t="n">
        <v>7428.86</v>
      </c>
      <c r="H7" s="9" t="n">
        <f aca="false">F7*G7</f>
        <v>471974.790836</v>
      </c>
    </row>
    <row r="8" customFormat="false" ht="15" hidden="false" customHeight="false" outlineLevel="0" collapsed="false">
      <c r="A8" s="4" t="s">
        <v>19</v>
      </c>
      <c r="B8" s="5" t="s">
        <v>20</v>
      </c>
      <c r="C8" s="5" t="s">
        <v>21</v>
      </c>
      <c r="D8" s="6" t="n">
        <v>26760.59</v>
      </c>
      <c r="E8" s="7" t="n">
        <f aca="false">D8/D$10</f>
        <v>0.156511089145195</v>
      </c>
      <c r="F8" s="8" t="n">
        <v>81.3919</v>
      </c>
      <c r="G8" s="6" t="n">
        <v>2580.29</v>
      </c>
      <c r="H8" s="9" t="n">
        <f aca="false">F8*G8</f>
        <v>210014.705651</v>
      </c>
    </row>
    <row r="9" customFormat="false" ht="15" hidden="false" customHeight="false" outlineLevel="0" collapsed="false">
      <c r="A9" s="4" t="s">
        <v>22</v>
      </c>
      <c r="B9" s="5" t="s">
        <v>23</v>
      </c>
      <c r="C9" s="5" t="s">
        <v>24</v>
      </c>
      <c r="D9" s="6" t="n">
        <v>680.43</v>
      </c>
      <c r="E9" s="7" t="n">
        <f aca="false">D9/D$10</f>
        <v>0.00397954007692152</v>
      </c>
      <c r="F9" s="8" t="n">
        <v>67.7836</v>
      </c>
      <c r="G9" s="6" t="n">
        <v>71.67</v>
      </c>
      <c r="H9" s="9" t="n">
        <f aca="false">F9*G9</f>
        <v>4858.050612</v>
      </c>
    </row>
    <row r="10" customFormat="false" ht="15" hidden="false" customHeight="false" outlineLevel="0" collapsed="false">
      <c r="A10" s="10" t="s">
        <v>25</v>
      </c>
      <c r="B10" s="11"/>
      <c r="C10" s="11"/>
      <c r="D10" s="12" t="n">
        <f aca="false">SUM(D5:D9)</f>
        <v>170982.07</v>
      </c>
      <c r="E10" s="13" t="n">
        <f aca="false">D10/D10</f>
        <v>1</v>
      </c>
      <c r="F10" s="11"/>
      <c r="G10" s="12" t="n">
        <f aca="false">SUM(G5:G9)</f>
        <v>14864.44</v>
      </c>
      <c r="H10" s="14" t="n">
        <f aca="false">SUM(H5:H9)</f>
        <v>929979.294034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5" min="3" style="0" width="14"/>
    <col collapsed="false" customWidth="true" hidden="false" outlineLevel="0" max="6" min="6" style="0" width="15"/>
    <col collapsed="false" customWidth="true" hidden="false" outlineLevel="0" max="8" min="7" style="0" width="12"/>
  </cols>
  <sheetData>
    <row r="1" customFormat="false" ht="16.15" hidden="false" customHeight="false" outlineLevel="0" collapsed="false">
      <c r="A1" s="1" t="s">
        <v>26</v>
      </c>
    </row>
    <row r="2" customFormat="false" ht="39.7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</row>
    <row r="5" customFormat="false" ht="15" hidden="false" customHeight="false" outlineLevel="0" collapsed="false">
      <c r="A5" s="5" t="n">
        <v>311</v>
      </c>
      <c r="B5" s="5" t="s">
        <v>36</v>
      </c>
      <c r="C5" s="6" t="n">
        <v>432.49</v>
      </c>
      <c r="D5" s="6" t="n">
        <v>2313.67</v>
      </c>
      <c r="E5" s="6" t="n">
        <v>10125.96</v>
      </c>
      <c r="F5" s="6" t="n">
        <v>3515.35</v>
      </c>
      <c r="G5" s="6" t="n">
        <v>394.61</v>
      </c>
      <c r="H5" s="15" t="n">
        <f aca="false">SUM(C5:G5)</f>
        <v>16782.08</v>
      </c>
    </row>
    <row r="6" customFormat="false" ht="15" hidden="false" customHeight="false" outlineLevel="0" collapsed="false">
      <c r="A6" s="5" t="n">
        <v>312</v>
      </c>
      <c r="B6" s="5" t="s">
        <v>37</v>
      </c>
      <c r="C6" s="6" t="n">
        <v>1888.81</v>
      </c>
      <c r="D6" s="6" t="n">
        <v>3145.26</v>
      </c>
      <c r="E6" s="6" t="n">
        <v>20527.4</v>
      </c>
      <c r="F6" s="6" t="n">
        <v>11812.52</v>
      </c>
      <c r="G6" s="6" t="n">
        <v>58.93</v>
      </c>
      <c r="H6" s="15" t="n">
        <f aca="false">SUM(C6:G6)</f>
        <v>37432.92</v>
      </c>
    </row>
    <row r="7" customFormat="false" ht="15" hidden="false" customHeight="false" outlineLevel="0" collapsed="false">
      <c r="A7" s="5" t="n">
        <v>313</v>
      </c>
      <c r="B7" s="5" t="s">
        <v>38</v>
      </c>
      <c r="C7" s="6" t="n">
        <v>406.26</v>
      </c>
      <c r="D7" s="6" t="n">
        <v>1230.37</v>
      </c>
      <c r="E7" s="6" t="n">
        <v>8019.85</v>
      </c>
      <c r="F7" s="6" t="n">
        <v>4293.5</v>
      </c>
      <c r="G7" s="6" t="n">
        <v>122.84</v>
      </c>
      <c r="H7" s="15" t="n">
        <f aca="false">SUM(C7:G7)</f>
        <v>14072.82</v>
      </c>
    </row>
    <row r="8" customFormat="false" ht="15" hidden="false" customHeight="false" outlineLevel="0" collapsed="false">
      <c r="A8" s="5" t="n">
        <v>321</v>
      </c>
      <c r="B8" s="5" t="s">
        <v>39</v>
      </c>
      <c r="C8" s="6" t="n">
        <v>583.72</v>
      </c>
      <c r="D8" s="6" t="n">
        <v>390.68</v>
      </c>
      <c r="E8" s="6" t="n">
        <v>626.26</v>
      </c>
      <c r="F8" s="6" t="n">
        <v>114.68</v>
      </c>
      <c r="G8" s="6" t="n">
        <v>0.13</v>
      </c>
      <c r="H8" s="15" t="n">
        <f aca="false">SUM(C8:G8)</f>
        <v>1715.47</v>
      </c>
    </row>
    <row r="9" customFormat="false" ht="15" hidden="false" customHeight="false" outlineLevel="0" collapsed="false">
      <c r="A9" s="5" t="n">
        <v>322</v>
      </c>
      <c r="B9" s="5" t="s">
        <v>40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15" t="n">
        <f aca="false">SUM(C9:G9)</f>
        <v>0</v>
      </c>
    </row>
    <row r="10" customFormat="false" ht="15" hidden="false" customHeight="false" outlineLevel="0" collapsed="false">
      <c r="A10" s="5" t="n">
        <v>323</v>
      </c>
      <c r="B10" s="5" t="s">
        <v>41</v>
      </c>
      <c r="C10" s="6" t="n">
        <v>12284.41</v>
      </c>
      <c r="D10" s="6" t="n">
        <v>18110.22</v>
      </c>
      <c r="E10" s="6" t="n">
        <v>25295.24</v>
      </c>
      <c r="F10" s="6" t="n">
        <v>3953.06</v>
      </c>
      <c r="G10" s="6" t="n">
        <v>53.76</v>
      </c>
      <c r="H10" s="15" t="n">
        <f aca="false">SUM(C10:G10)</f>
        <v>59696.69</v>
      </c>
    </row>
    <row r="11" customFormat="false" ht="15" hidden="false" customHeight="false" outlineLevel="0" collapsed="false">
      <c r="A11" s="5" t="n">
        <v>324</v>
      </c>
      <c r="B11" s="5" t="s">
        <v>42</v>
      </c>
      <c r="C11" s="6" t="n">
        <v>1379.62</v>
      </c>
      <c r="D11" s="6" t="n">
        <v>3006.33</v>
      </c>
      <c r="E11" s="6" t="n">
        <v>5075.13</v>
      </c>
      <c r="F11" s="6" t="n">
        <v>1038.37</v>
      </c>
      <c r="G11" s="6" t="n">
        <v>14.12</v>
      </c>
      <c r="H11" s="15" t="n">
        <f aca="false">SUM(C11:G11)</f>
        <v>10513.57</v>
      </c>
    </row>
    <row r="12" customFormat="false" ht="15" hidden="false" customHeight="false" outlineLevel="0" collapsed="false">
      <c r="A12" s="10" t="s">
        <v>25</v>
      </c>
      <c r="B12" s="10" t="s">
        <v>43</v>
      </c>
      <c r="C12" s="12" t="n">
        <f aca="false">SUM(C5:C11)</f>
        <v>16975.31</v>
      </c>
      <c r="D12" s="12" t="n">
        <f aca="false">SUM(D5:D11)</f>
        <v>28196.53</v>
      </c>
      <c r="E12" s="12" t="n">
        <f aca="false">SUM(E5:E11)</f>
        <v>69669.84</v>
      </c>
      <c r="F12" s="12" t="n">
        <f aca="false">SUM(F5:F11)</f>
        <v>24727.48</v>
      </c>
      <c r="G12" s="12" t="n">
        <f aca="false">SUM(G5:G11)</f>
        <v>644.39</v>
      </c>
      <c r="H12" s="12" t="n">
        <f aca="false">SUM(H5:H11)</f>
        <v>140213.55</v>
      </c>
    </row>
    <row r="14" customFormat="false" ht="15" hidden="false" customHeight="false" outlineLevel="0" collapsed="false">
      <c r="A14" s="16" t="s">
        <v>44</v>
      </c>
      <c r="B14" s="16"/>
      <c r="C14" s="16"/>
      <c r="D14" s="16"/>
    </row>
    <row r="15" customFormat="false" ht="23.85" hidden="false" customHeight="false" outlineLevel="0" collapsed="false">
      <c r="A15" s="3" t="s">
        <v>28</v>
      </c>
      <c r="B15" s="3" t="s">
        <v>29</v>
      </c>
      <c r="C15" s="3" t="s">
        <v>45</v>
      </c>
      <c r="D15" s="3" t="s">
        <v>46</v>
      </c>
    </row>
    <row r="16" customFormat="false" ht="15" hidden="false" customHeight="false" outlineLevel="0" collapsed="false">
      <c r="A16" s="5" t="n">
        <v>311</v>
      </c>
      <c r="B16" s="5" t="s">
        <v>36</v>
      </c>
      <c r="C16" s="7" t="n">
        <f aca="false">IFERROR(SUM(C5:D5)/H5,"n/a")</f>
        <v>0.163636450308901</v>
      </c>
      <c r="D16" s="7" t="n">
        <f aca="false">IFERROR(SUM(E5:G5)/H5,"n/a")</f>
        <v>0.836363549691099</v>
      </c>
    </row>
    <row r="17" customFormat="false" ht="15" hidden="false" customHeight="false" outlineLevel="0" collapsed="false">
      <c r="A17" s="5" t="n">
        <v>312</v>
      </c>
      <c r="B17" s="5" t="s">
        <v>37</v>
      </c>
      <c r="C17" s="7" t="n">
        <f aca="false">IFERROR(SUM(C6:D6)/H6,"n/a")</f>
        <v>0.134482428835367</v>
      </c>
      <c r="D17" s="7" t="n">
        <f aca="false">IFERROR(SUM(E6:G6)/H6,"n/a")</f>
        <v>0.865517571164633</v>
      </c>
    </row>
    <row r="18" customFormat="false" ht="15" hidden="false" customHeight="false" outlineLevel="0" collapsed="false">
      <c r="A18" s="5" t="n">
        <v>313</v>
      </c>
      <c r="B18" s="5" t="s">
        <v>38</v>
      </c>
      <c r="C18" s="7" t="n">
        <f aca="false">IFERROR(SUM(C7:D7)/H7,"n/a")</f>
        <v>0.116297231116436</v>
      </c>
      <c r="D18" s="7" t="n">
        <f aca="false">IFERROR(SUM(E7:G7)/H7,"n/a")</f>
        <v>0.883702768883564</v>
      </c>
    </row>
    <row r="19" customFormat="false" ht="15" hidden="false" customHeight="false" outlineLevel="0" collapsed="false">
      <c r="A19" s="5" t="n">
        <v>321</v>
      </c>
      <c r="B19" s="5" t="s">
        <v>39</v>
      </c>
      <c r="C19" s="7" t="n">
        <f aca="false">IFERROR(SUM(C8:D8)/H8,"n/a")</f>
        <v>0.568007601415356</v>
      </c>
      <c r="D19" s="7" t="n">
        <f aca="false">IFERROR(SUM(E8:G8)/H8,"n/a")</f>
        <v>0.431992398584644</v>
      </c>
    </row>
    <row r="20" customFormat="false" ht="15" hidden="false" customHeight="false" outlineLevel="0" collapsed="false">
      <c r="A20" s="5" t="n">
        <v>322</v>
      </c>
      <c r="B20" s="5" t="s">
        <v>40</v>
      </c>
      <c r="C20" s="7" t="str">
        <f aca="false">IFERROR(SUM(C9:D9)/H9,"n/a")</f>
        <v>n/a</v>
      </c>
      <c r="D20" s="7" t="str">
        <f aca="false">IFERROR(SUM(E9:G9)/H9,"n/a")</f>
        <v>n/a</v>
      </c>
    </row>
    <row r="21" customFormat="false" ht="15" hidden="false" customHeight="false" outlineLevel="0" collapsed="false">
      <c r="A21" s="5" t="n">
        <v>323</v>
      </c>
      <c r="B21" s="5" t="s">
        <v>41</v>
      </c>
      <c r="C21" s="7" t="n">
        <f aca="false">IFERROR(SUM(C10:D10)/H10,"n/a")</f>
        <v>0.509151009880112</v>
      </c>
      <c r="D21" s="7" t="n">
        <f aca="false">IFERROR(SUM(E10:G10)/H10,"n/a")</f>
        <v>0.490848990119888</v>
      </c>
    </row>
    <row r="22" customFormat="false" ht="15" hidden="false" customHeight="false" outlineLevel="0" collapsed="false">
      <c r="A22" s="5" t="n">
        <v>324</v>
      </c>
      <c r="B22" s="5" t="s">
        <v>42</v>
      </c>
      <c r="C22" s="7" t="n">
        <f aca="false">IFERROR(SUM(C11:D11)/H11,"n/a")</f>
        <v>0.417170380755538</v>
      </c>
      <c r="D22" s="7" t="n">
        <f aca="false">IFERROR(SUM(E11:G11)/H11,"n/a")</f>
        <v>0.582829619244462</v>
      </c>
    </row>
  </sheetData>
  <mergeCells count="2">
    <mergeCell ref="A2:H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47</v>
      </c>
    </row>
    <row r="3" customFormat="false" ht="60" hidden="false" customHeight="true" outlineLevel="0" collapsed="false">
      <c r="A3" s="17" t="s">
        <v>48</v>
      </c>
      <c r="B3" s="18" t="s">
        <v>49</v>
      </c>
    </row>
    <row r="4" customFormat="false" ht="60" hidden="false" customHeight="true" outlineLevel="0" collapsed="false">
      <c r="A4" s="17" t="s">
        <v>50</v>
      </c>
      <c r="B4" s="18" t="s">
        <v>51</v>
      </c>
    </row>
    <row r="5" customFormat="false" ht="60" hidden="false" customHeight="true" outlineLevel="0" collapsed="false">
      <c r="A5" s="17" t="s">
        <v>52</v>
      </c>
      <c r="B5" s="18" t="s">
        <v>53</v>
      </c>
    </row>
    <row r="6" customFormat="false" ht="60" hidden="false" customHeight="true" outlineLevel="0" collapsed="false">
      <c r="A6" s="17" t="s">
        <v>54</v>
      </c>
      <c r="B6" s="18" t="s">
        <v>55</v>
      </c>
    </row>
    <row r="7" customFormat="false" ht="60" hidden="false" customHeight="true" outlineLevel="0" collapsed="false">
      <c r="A7" s="17" t="s">
        <v>56</v>
      </c>
      <c r="B7" s="18" t="s">
        <v>57</v>
      </c>
    </row>
    <row r="8" customFormat="false" ht="60" hidden="false" customHeight="true" outlineLevel="0" collapsed="false">
      <c r="A8" s="17" t="s">
        <v>58</v>
      </c>
      <c r="B8" s="18" t="s">
        <v>59</v>
      </c>
    </row>
    <row r="9" customFormat="false" ht="60" hidden="false" customHeight="true" outlineLevel="0" collapsed="false">
      <c r="A9" s="17" t="s">
        <v>60</v>
      </c>
      <c r="B9" s="18" t="s">
        <v>61</v>
      </c>
    </row>
    <row r="10" customFormat="false" ht="60" hidden="false" customHeight="true" outlineLevel="0" collapsed="false">
      <c r="A10" s="17" t="s">
        <v>62</v>
      </c>
      <c r="B10" s="18" t="s">
        <v>63</v>
      </c>
    </row>
    <row r="11" customFormat="false" ht="60" hidden="false" customHeight="true" outlineLevel="0" collapsed="false">
      <c r="A11" s="17" t="s">
        <v>64</v>
      </c>
      <c r="B11" s="18" t="s">
        <v>65</v>
      </c>
    </row>
    <row r="12" customFormat="false" ht="60" hidden="false" customHeight="true" outlineLevel="0" collapsed="false">
      <c r="A12" s="17" t="s">
        <v>66</v>
      </c>
      <c r="B12" s="18" t="s">
        <v>67</v>
      </c>
    </row>
    <row r="13" customFormat="false" ht="60" hidden="false" customHeight="true" outlineLevel="0" collapsed="false">
      <c r="A13" s="17" t="s">
        <v>68</v>
      </c>
      <c r="B13" s="18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2026-08-30T20:53:03Z</dcterms:created>
  <dc:creator>openpyxl</dc:creator>
  <dc:description/>
  <dc:language>en-US</dc:language>
  <cp:lastModifiedBy/>
  <dcterms:modified xsi:type="dcterms:W3CDTF">2026-08-30T20:53:05Z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