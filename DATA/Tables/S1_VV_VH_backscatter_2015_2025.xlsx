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Summary" sheetId="2" state="visible" r:id="rId4"/>
    <sheet name="By_Massif_VV" sheetId="3" state="visible" r:id="rId5"/>
    <sheet name="By_Massif_VH" sheetId="4" state="visible" r:id="rId6"/>
    <sheet name="Not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<sst xmlns="http://schemas.openxmlformats.org/spreadsheetml/2006/main" count="351" uniqueCount="50">
  <si>
    <t xml:space="preserve">nom_massif</t>
  </si>
  <si>
    <t xml:space="preserve">year</t>
  </si>
  <si>
    <t xml:space="preserve">VV_mean_dB</t>
  </si>
  <si>
    <t xml:space="preserve">VH_mean_dB</t>
  </si>
  <si>
    <t xml:space="preserve">Alpilles</t>
  </si>
  <si>
    <t xml:space="preserve">Arbois</t>
  </si>
  <si>
    <t xml:space="preserve">Calanques</t>
  </si>
  <si>
    <t xml:space="preserve">Cap Canaille</t>
  </si>
  <si>
    <t xml:space="preserve">Castillon</t>
  </si>
  <si>
    <t xml:space="preserve">Chaine des Cotes</t>
  </si>
  <si>
    <t xml:space="preserve">Chambremont</t>
  </si>
  <si>
    <t xml:space="preserve">Collines de Gardanne</t>
  </si>
  <si>
    <t xml:space="preserve">Concors</t>
  </si>
  <si>
    <t xml:space="preserve">Cote Bleue</t>
  </si>
  <si>
    <t xml:space="preserve">Etoile</t>
  </si>
  <si>
    <t xml:space="preserve">Garlaban</t>
  </si>
  <si>
    <t xml:space="preserve">Grand Caunet</t>
  </si>
  <si>
    <t xml:space="preserve">Lançon</t>
  </si>
  <si>
    <t xml:space="preserve">Les Roques</t>
  </si>
  <si>
    <t xml:space="preserve">Montagnette</t>
  </si>
  <si>
    <t xml:space="preserve">Montaiguet</t>
  </si>
  <si>
    <t xml:space="preserve">Pont de Rhaud</t>
  </si>
  <si>
    <t xml:space="preserve">Quatre Termes</t>
  </si>
  <si>
    <t xml:space="preserve">Regagnas</t>
  </si>
  <si>
    <t xml:space="preserve">Rougadou</t>
  </si>
  <si>
    <t xml:space="preserve">Sainte-Baume</t>
  </si>
  <si>
    <t xml:space="preserve">Sainte-Victoire</t>
  </si>
  <si>
    <t xml:space="preserve">Sulauze</t>
  </si>
  <si>
    <t xml:space="preserve">Trevaresse</t>
  </si>
  <si>
    <t xml:space="preserve">Sentinel-1 VV/VH Backscatter — Joint Analysis, Bouches-du-Rhône Forest Massifs</t>
  </si>
  <si>
    <t xml:space="preserve">Department-wide annual mean backscatter (dB), May–June composite, 25 forest massifs, 2015–2025. See the Notes sheet for data availability and methodology.</t>
  </si>
  <si>
    <t xml:space="preserve">Year</t>
  </si>
  <si>
    <t xml:space="preserve">Mean VV (dB)</t>
  </si>
  <si>
    <t xml:space="preserve">Mean VH (dB)</t>
  </si>
  <si>
    <t xml:space="preserve">VV − VH (dB)</t>
  </si>
  <si>
    <t xml:space="preserve">Massifs averaged (n)</t>
  </si>
  <si>
    <t xml:space="preserve">Note: 2015 reflects fewer available Sentinel-1 scenes (mission start) and should be read with caution — see Notes sheet.</t>
  </si>
  <si>
    <t xml:space="preserve">Mean VV Backscatter (dB) by Massif and Year</t>
  </si>
  <si>
    <t xml:space="preserve">Forest massif</t>
  </si>
  <si>
    <t xml:space="preserve">Mean VH Backscatter (dB) by Massif and Year</t>
  </si>
  <si>
    <t xml:space="preserve">Sentinel-1 VV/VH Backscatter — Methodology Notes</t>
  </si>
  <si>
    <t xml:space="preserve">Source: Copernicus Sentinel-1 GRD (COPERNICUS/S1_GRD), Interferometric Wide (IW) swath mode, VV and VH polarisations, processed in Google Earth Engine.</t>
  </si>
  <si>
    <t xml:space="preserve">Temporal coverage: 2015–2025. Sentinel-1A launched April 2014 and only reached stable operational coverage over Europe from late 2014; 2010–2014 have no usable Sentinel-1 data and are not included (this is a satellite-availability constraint, not a processing choice).</t>
  </si>
  <si>
    <t xml:space="preserve">Compositing window: 1 May – 30 June each year, matching the NDVI/NDMI/SAVI annual composites used elsewhere in this study, for direct cross-sensor and year-to-year comparability.</t>
  </si>
  <si>
    <t xml:space="preserve">Processing: both ascending and descending orbit passes were retained to maximise revisit frequency. For each year and massif, the per-pixel median of all available VV and VH scenes in the window was computed — this multi-temporal median is the speckle-reduction filter, consistent with Section 2.6 of the study. Values are in decibels (dB), as delivered by the GEE-preprocessed S1_GRD collection.</t>
  </si>
  <si>
    <t xml:space="preserve">Zonal statistics: mean VV and VH per massif were computed at 10 m (Sentinel-1 native resolution) over each of the 25 officially designated Bouches-du-Rhône forest massifs (EPSG:2154).</t>
  </si>
  <si>
    <t xml:space="preserve">Caveat — 2015: the first partial year of the series has fewer available Sentinel-1 acquisitions (Sentinel-1A only, mission still ramping up), so its per-massif and department-wide means are based on a smaller sample and should be interpreted with more caution than later years.</t>
  </si>
  <si>
    <t xml:space="preserve">Interpretation: VV backscatter is primarily sensitive to surface roughness and near-surface soil moisture, while VH (cross-polarised) backscatter is more sensitive to volume scattering from canopy structure, density and moisture content — their joint analysis is used in this study as a cloud-independent complement to the optical vegetation indices (NDVI, NDMI, SAVI).</t>
  </si>
  <si>
    <t xml:space="preserve">References: Torres, R. et al. GMES Sentinel-1 mission. Remote Sens. Environ. 2012, 120, 9–24. · Ban, Y. et al. Near real-time wildfire progression monitoring with Sentinel-1 SAR time series. Sci. Rep. 2020, 10, 1322.</t>
  </si>
  <si>
    <t xml:space="preserve">Generated via Google Earth Engine (project hale-dynamo-473013-s7); raw per-massif values on the Data sheet, exported from Google Drive folder GEE_exports_S1_backscatter.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</si>
</sst>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5"/>
      <color rgb="FFFFFFFF"/>
      <name val="Arial"/>
      <family val="0"/>
      <charset val="1"/>
    </font>
    <font>
      <sz val="10.5"/>
      <color rgb="FF0B0B0B"/>
      <name val="Arial"/>
      <family val="0"/>
      <charset val="1"/>
    </font>
    <font>
      <b val="true"/>
      <sz val="14"/>
      <color rgb="FF0B0B0B"/>
      <name val="Arial"/>
      <family val="0"/>
      <charset val="1"/>
    </font>
    <font>
      <i val="true"/>
      <sz val="10"/>
      <color rgb="FF52514E"/>
      <name val="Arial"/>
      <family val="0"/>
      <charset val="1"/>
    </font>
    <font>
      <i val="true"/>
      <sz val="9"/>
      <color rgb="FF898781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C3A5E"/>
        <bgColor rgb="FF333399"/>
      </patternFill>
    </fill>
    <fill>
      <patternFill patternType="solid">
        <fgColor rgb="FF2A78D6"/>
        <bgColor rgb="FF0066CC"/>
      </patternFill>
    </fill>
    <fill>
      <patternFill patternType="solid">
        <fgColor rgb="FFEB6834"/>
        <bgColor rgb="FFFF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EB6834"/>
      <rgbColor rgb="FF666699"/>
      <rgbColor rgb="FF898781"/>
      <rgbColor rgb="FF1C3A5E"/>
      <rgbColor rgb="FF339966"/>
      <rgbColor rgb="FF0B0B0B"/>
      <rgbColor rgb="FF333300"/>
      <rgbColor rgb="FF993300"/>
      <rgbColor rgb="FF993366"/>
      <rgbColor rgb="FF333399"/>
      <rgbColor rgb="FF52514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Mean Sentinel-1 Backscatter by Year (VV vs. VH)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Summary!B4</c:f>
              <c:strCache>
                <c:ptCount val="1"/>
                <c:pt idx="0">
                  <c:v>Mean VV (dB)</c:v>
                </c:pt>
              </c:strCache>
            </c:strRef>
          </c:tx>
          <c:spPr>
            <a:solidFill>
              <a:srgbClr val="2a78d6"/>
            </a:solidFill>
            <a:ln w="21960">
              <a:solidFill>
                <a:srgbClr val="2a78d6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Summary!$A$5:$A$15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Summary!$B$5:$B$15</c:f>
              <c:numCache>
                <c:formatCode>General</c:formatCode>
                <c:ptCount val="11"/>
                <c:pt idx="0">
                  <c:v>-8.9</c:v>
                </c:pt>
                <c:pt idx="1">
                  <c:v>-10.12</c:v>
                </c:pt>
                <c:pt idx="2">
                  <c:v>-9.92</c:v>
                </c:pt>
                <c:pt idx="3">
                  <c:v>-9.93</c:v>
                </c:pt>
                <c:pt idx="4">
                  <c:v>-9.87</c:v>
                </c:pt>
                <c:pt idx="5">
                  <c:v>-9.86</c:v>
                </c:pt>
                <c:pt idx="6">
                  <c:v>-9.85</c:v>
                </c:pt>
                <c:pt idx="7">
                  <c:v>-9.72</c:v>
                </c:pt>
                <c:pt idx="8">
                  <c:v>-9.76</c:v>
                </c:pt>
                <c:pt idx="9">
                  <c:v>-9.93</c:v>
                </c:pt>
                <c:pt idx="10">
                  <c:v>-9.89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Summary!C4</c:f>
              <c:strCache>
                <c:ptCount val="1"/>
                <c:pt idx="0">
                  <c:v>Mean VH (dB)</c:v>
                </c:pt>
              </c:strCache>
            </c:strRef>
          </c:tx>
          <c:spPr>
            <a:solidFill>
              <a:srgbClr val="eb6834"/>
            </a:solidFill>
            <a:ln w="21960">
              <a:solidFill>
                <a:srgbClr val="eb683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Summary!$A$5:$A$15</c:f>
              <c:strCache>
                <c:ptCount val="11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  <c:pt idx="8">
                  <c:v>2023</c:v>
                </c:pt>
                <c:pt idx="9">
                  <c:v>2024</c:v>
                </c:pt>
                <c:pt idx="10">
                  <c:v>2025</c:v>
                </c:pt>
              </c:strCache>
            </c:strRef>
          </c:cat>
          <c:val>
            <c:numRef>
              <c:f>Summary!$C$5:$C$15</c:f>
              <c:numCache>
                <c:formatCode>General</c:formatCode>
                <c:ptCount val="11"/>
                <c:pt idx="0">
                  <c:v>-14.59</c:v>
                </c:pt>
                <c:pt idx="1">
                  <c:v>-15.42</c:v>
                </c:pt>
                <c:pt idx="2">
                  <c:v>-15.29</c:v>
                </c:pt>
                <c:pt idx="3">
                  <c:v>-15.49</c:v>
                </c:pt>
                <c:pt idx="4">
                  <c:v>-15.52</c:v>
                </c:pt>
                <c:pt idx="5">
                  <c:v>-15.5</c:v>
                </c:pt>
                <c:pt idx="6">
                  <c:v>-15.52</c:v>
                </c:pt>
                <c:pt idx="7">
                  <c:v>-15.29</c:v>
                </c:pt>
                <c:pt idx="8">
                  <c:v>-15.38</c:v>
                </c:pt>
                <c:pt idx="9">
                  <c:v>-15.51</c:v>
                </c:pt>
                <c:pt idx="10">
                  <c:v>-15.45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26666244"/>
        <c:axId val="38436050"/>
      </c:lineChart>
      <c:catAx>
        <c:axId val="2666624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Year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8436050"/>
        <c:crosses val="autoZero"/>
        <c:auto val="1"/>
        <c:lblAlgn val="ctr"/>
        <c:lblOffset val="100"/>
        <c:noMultiLvlLbl val="0"/>
      </c:catAx>
      <c:valAx>
        <c:axId val="384360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Backscatter (dB)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666624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2</xdr:row>
      <xdr:rowOff>160560</xdr:rowOff>
    </xdr:from>
    <xdr:to>
      <xdr:col>16</xdr:col>
      <xdr:colOff>364680</xdr:colOff>
      <xdr:row>19</xdr:row>
      <xdr:rowOff>30240</xdr:rowOff>
    </xdr:to>
    <xdr:graphicFrame>
      <xdr:nvGraphicFramePr>
        <xdr:cNvPr id="0" name="Chart 1"/>
        <xdr:cNvGraphicFramePr/>
      </xdr:nvGraphicFramePr>
      <xdr:xfrm>
        <a:off x="5263560" y="733320"/>
        <a:ext cx="647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8"/>
    <col collapsed="false" customWidth="true" hidden="false" outlineLevel="0" max="4" min="3" style="0" width="1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2" t="s">
        <v>4</v>
      </c>
      <c r="B2" s="2" t="n">
        <v>2015</v>
      </c>
      <c r="C2" s="2" t="n">
        <v>-9.1219</v>
      </c>
      <c r="D2" s="2" t="n">
        <v>-14.8645</v>
      </c>
    </row>
    <row r="3" customFormat="false" ht="15" hidden="false" customHeight="false" outlineLevel="0" collapsed="false">
      <c r="A3" s="2" t="s">
        <v>4</v>
      </c>
      <c r="B3" s="2" t="n">
        <v>2016</v>
      </c>
      <c r="C3" s="2" t="n">
        <v>-10.2901</v>
      </c>
      <c r="D3" s="2" t="n">
        <v>-15.6052</v>
      </c>
    </row>
    <row r="4" customFormat="false" ht="15" hidden="false" customHeight="false" outlineLevel="0" collapsed="false">
      <c r="A4" s="2" t="s">
        <v>4</v>
      </c>
      <c r="B4" s="2" t="n">
        <v>2017</v>
      </c>
      <c r="C4" s="2" t="n">
        <v>-10.142</v>
      </c>
      <c r="D4" s="2" t="n">
        <v>-15.5098</v>
      </c>
    </row>
    <row r="5" customFormat="false" ht="15" hidden="false" customHeight="false" outlineLevel="0" collapsed="false">
      <c r="A5" s="2" t="s">
        <v>4</v>
      </c>
      <c r="B5" s="2" t="n">
        <v>2018</v>
      </c>
      <c r="C5" s="2" t="n">
        <v>-10.1899</v>
      </c>
      <c r="D5" s="2" t="n">
        <v>-15.7392</v>
      </c>
    </row>
    <row r="6" customFormat="false" ht="15" hidden="false" customHeight="false" outlineLevel="0" collapsed="false">
      <c r="A6" s="2" t="s">
        <v>4</v>
      </c>
      <c r="B6" s="2" t="n">
        <v>2019</v>
      </c>
      <c r="C6" s="2" t="n">
        <v>-10.0566</v>
      </c>
      <c r="D6" s="2" t="n">
        <v>-15.7247</v>
      </c>
    </row>
    <row r="7" customFormat="false" ht="15" hidden="false" customHeight="false" outlineLevel="0" collapsed="false">
      <c r="A7" s="2" t="s">
        <v>4</v>
      </c>
      <c r="B7" s="2" t="n">
        <v>2020</v>
      </c>
      <c r="C7" s="2" t="n">
        <v>-10.0421</v>
      </c>
      <c r="D7" s="2" t="n">
        <v>-15.6936</v>
      </c>
    </row>
    <row r="8" customFormat="false" ht="15" hidden="false" customHeight="false" outlineLevel="0" collapsed="false">
      <c r="A8" s="2" t="s">
        <v>4</v>
      </c>
      <c r="B8" s="2" t="n">
        <v>2021</v>
      </c>
      <c r="C8" s="2" t="n">
        <v>-9.9381</v>
      </c>
      <c r="D8" s="2" t="n">
        <v>-15.6015</v>
      </c>
    </row>
    <row r="9" customFormat="false" ht="15" hidden="false" customHeight="false" outlineLevel="0" collapsed="false">
      <c r="A9" s="2" t="s">
        <v>4</v>
      </c>
      <c r="B9" s="2" t="n">
        <v>2022</v>
      </c>
      <c r="C9" s="2" t="n">
        <v>-9.8556</v>
      </c>
      <c r="D9" s="2" t="n">
        <v>-15.4023</v>
      </c>
    </row>
    <row r="10" customFormat="false" ht="15" hidden="false" customHeight="false" outlineLevel="0" collapsed="false">
      <c r="A10" s="2" t="s">
        <v>4</v>
      </c>
      <c r="B10" s="2" t="n">
        <v>2023</v>
      </c>
      <c r="C10" s="2" t="n">
        <v>-9.9319</v>
      </c>
      <c r="D10" s="2" t="n">
        <v>-15.5288</v>
      </c>
    </row>
    <row r="11" customFormat="false" ht="15" hidden="false" customHeight="false" outlineLevel="0" collapsed="false">
      <c r="A11" s="2" t="s">
        <v>4</v>
      </c>
      <c r="B11" s="2" t="n">
        <v>2024</v>
      </c>
      <c r="C11" s="2" t="n">
        <v>-10.14</v>
      </c>
      <c r="D11" s="2" t="n">
        <v>-15.716</v>
      </c>
    </row>
    <row r="12" customFormat="false" ht="15" hidden="false" customHeight="false" outlineLevel="0" collapsed="false">
      <c r="A12" s="2" t="s">
        <v>4</v>
      </c>
      <c r="B12" s="2" t="n">
        <v>2025</v>
      </c>
      <c r="C12" s="2" t="n">
        <v>-10.1429</v>
      </c>
      <c r="D12" s="2" t="n">
        <v>-15.6317</v>
      </c>
    </row>
    <row r="13" customFormat="false" ht="15" hidden="false" customHeight="false" outlineLevel="0" collapsed="false">
      <c r="A13" s="2" t="s">
        <v>5</v>
      </c>
      <c r="B13" s="2" t="n">
        <v>2015</v>
      </c>
      <c r="C13" s="2" t="n">
        <v>-9.4072</v>
      </c>
      <c r="D13" s="2" t="n">
        <v>-15.1564</v>
      </c>
    </row>
    <row r="14" customFormat="false" ht="15" hidden="false" customHeight="false" outlineLevel="0" collapsed="false">
      <c r="A14" s="2" t="s">
        <v>5</v>
      </c>
      <c r="B14" s="2" t="n">
        <v>2016</v>
      </c>
      <c r="C14" s="2" t="n">
        <v>-10.6275</v>
      </c>
      <c r="D14" s="2" t="n">
        <v>-15.9621</v>
      </c>
    </row>
    <row r="15" customFormat="false" ht="15" hidden="false" customHeight="false" outlineLevel="0" collapsed="false">
      <c r="A15" s="2" t="s">
        <v>5</v>
      </c>
      <c r="B15" s="2" t="n">
        <v>2017</v>
      </c>
      <c r="C15" s="2" t="n">
        <v>-10.4463</v>
      </c>
      <c r="D15" s="2" t="n">
        <v>-16.0962</v>
      </c>
    </row>
    <row r="16" customFormat="false" ht="15" hidden="false" customHeight="false" outlineLevel="0" collapsed="false">
      <c r="A16" s="2" t="s">
        <v>5</v>
      </c>
      <c r="B16" s="2" t="n">
        <v>2018</v>
      </c>
      <c r="C16" s="2" t="n">
        <v>-10.6125</v>
      </c>
      <c r="D16" s="2" t="n">
        <v>-16.4329</v>
      </c>
    </row>
    <row r="17" customFormat="false" ht="15" hidden="false" customHeight="false" outlineLevel="0" collapsed="false">
      <c r="A17" s="2" t="s">
        <v>5</v>
      </c>
      <c r="B17" s="2" t="n">
        <v>2019</v>
      </c>
      <c r="C17" s="2" t="n">
        <v>-10.594</v>
      </c>
      <c r="D17" s="2" t="n">
        <v>-16.4419</v>
      </c>
    </row>
    <row r="18" customFormat="false" ht="15" hidden="false" customHeight="false" outlineLevel="0" collapsed="false">
      <c r="A18" s="2" t="s">
        <v>5</v>
      </c>
      <c r="B18" s="2" t="n">
        <v>2020</v>
      </c>
      <c r="C18" s="2" t="n">
        <v>-10.5001</v>
      </c>
      <c r="D18" s="2" t="n">
        <v>-16.3187</v>
      </c>
    </row>
    <row r="19" customFormat="false" ht="15" hidden="false" customHeight="false" outlineLevel="0" collapsed="false">
      <c r="A19" s="2" t="s">
        <v>5</v>
      </c>
      <c r="B19" s="2" t="n">
        <v>2021</v>
      </c>
      <c r="C19" s="2" t="n">
        <v>-10.4647</v>
      </c>
      <c r="D19" s="2" t="n">
        <v>-16.2996</v>
      </c>
    </row>
    <row r="20" customFormat="false" ht="15" hidden="false" customHeight="false" outlineLevel="0" collapsed="false">
      <c r="A20" s="2" t="s">
        <v>5</v>
      </c>
      <c r="B20" s="2" t="n">
        <v>2022</v>
      </c>
      <c r="C20" s="2" t="n">
        <v>-10.4193</v>
      </c>
      <c r="D20" s="2" t="n">
        <v>-16.171</v>
      </c>
    </row>
    <row r="21" customFormat="false" ht="15" hidden="false" customHeight="false" outlineLevel="0" collapsed="false">
      <c r="A21" s="2" t="s">
        <v>5</v>
      </c>
      <c r="B21" s="2" t="n">
        <v>2023</v>
      </c>
      <c r="C21" s="2" t="n">
        <v>-10.4122</v>
      </c>
      <c r="D21" s="2" t="n">
        <v>-16.2241</v>
      </c>
    </row>
    <row r="22" customFormat="false" ht="15" hidden="false" customHeight="false" outlineLevel="0" collapsed="false">
      <c r="A22" s="2" t="s">
        <v>5</v>
      </c>
      <c r="B22" s="2" t="n">
        <v>2024</v>
      </c>
      <c r="C22" s="2" t="n">
        <v>-10.5938</v>
      </c>
      <c r="D22" s="2" t="n">
        <v>-16.3542</v>
      </c>
    </row>
    <row r="23" customFormat="false" ht="15" hidden="false" customHeight="false" outlineLevel="0" collapsed="false">
      <c r="A23" s="2" t="s">
        <v>5</v>
      </c>
      <c r="B23" s="2" t="n">
        <v>2025</v>
      </c>
      <c r="C23" s="2" t="n">
        <v>-10.5798</v>
      </c>
      <c r="D23" s="2" t="n">
        <v>-16.2601</v>
      </c>
    </row>
    <row r="24" customFormat="false" ht="15" hidden="false" customHeight="false" outlineLevel="0" collapsed="false">
      <c r="A24" s="2" t="s">
        <v>6</v>
      </c>
      <c r="B24" s="2" t="n">
        <v>2015</v>
      </c>
      <c r="C24" s="2" t="n">
        <v>-8.0842</v>
      </c>
      <c r="D24" s="2" t="n">
        <v>-13.4865</v>
      </c>
    </row>
    <row r="25" customFormat="false" ht="15" hidden="false" customHeight="false" outlineLevel="0" collapsed="false">
      <c r="A25" s="2" t="s">
        <v>6</v>
      </c>
      <c r="B25" s="2" t="n">
        <v>2016</v>
      </c>
      <c r="C25" s="2" t="n">
        <v>-8.5313</v>
      </c>
      <c r="D25" s="2" t="n">
        <v>-13.6807</v>
      </c>
    </row>
    <row r="26" customFormat="false" ht="15" hidden="false" customHeight="false" outlineLevel="0" collapsed="false">
      <c r="A26" s="2" t="s">
        <v>6</v>
      </c>
      <c r="B26" s="2" t="n">
        <v>2017</v>
      </c>
      <c r="C26" s="2" t="n">
        <v>-8.0839</v>
      </c>
      <c r="D26" s="2" t="n">
        <v>-13.2765</v>
      </c>
    </row>
    <row r="27" customFormat="false" ht="15" hidden="false" customHeight="false" outlineLevel="0" collapsed="false">
      <c r="A27" s="2" t="s">
        <v>6</v>
      </c>
      <c r="B27" s="2" t="n">
        <v>2018</v>
      </c>
      <c r="C27" s="2" t="n">
        <v>-8.4959</v>
      </c>
      <c r="D27" s="2" t="n">
        <v>-13.9977</v>
      </c>
    </row>
    <row r="28" customFormat="false" ht="15" hidden="false" customHeight="false" outlineLevel="0" collapsed="false">
      <c r="A28" s="2" t="s">
        <v>6</v>
      </c>
      <c r="B28" s="2" t="n">
        <v>2019</v>
      </c>
      <c r="C28" s="2" t="n">
        <v>-7.9861</v>
      </c>
      <c r="D28" s="2" t="n">
        <v>-13.3672</v>
      </c>
    </row>
    <row r="29" customFormat="false" ht="15" hidden="false" customHeight="false" outlineLevel="0" collapsed="false">
      <c r="A29" s="2" t="s">
        <v>6</v>
      </c>
      <c r="B29" s="2" t="n">
        <v>2020</v>
      </c>
      <c r="C29" s="2" t="n">
        <v>-8.3577</v>
      </c>
      <c r="D29" s="2" t="n">
        <v>-13.8648</v>
      </c>
    </row>
    <row r="30" customFormat="false" ht="15" hidden="false" customHeight="false" outlineLevel="0" collapsed="false">
      <c r="A30" s="2" t="s">
        <v>6</v>
      </c>
      <c r="B30" s="2" t="n">
        <v>2021</v>
      </c>
      <c r="C30" s="2" t="n">
        <v>-8.4167</v>
      </c>
      <c r="D30" s="2" t="n">
        <v>-13.9016</v>
      </c>
    </row>
    <row r="31" customFormat="false" ht="15" hidden="false" customHeight="false" outlineLevel="0" collapsed="false">
      <c r="A31" s="2" t="s">
        <v>6</v>
      </c>
      <c r="B31" s="2" t="n">
        <v>2022</v>
      </c>
      <c r="C31" s="2" t="n">
        <v>-8.0246</v>
      </c>
      <c r="D31" s="2" t="n">
        <v>-13.3634</v>
      </c>
    </row>
    <row r="32" customFormat="false" ht="15" hidden="false" customHeight="false" outlineLevel="0" collapsed="false">
      <c r="A32" s="2" t="s">
        <v>6</v>
      </c>
      <c r="B32" s="2" t="n">
        <v>2023</v>
      </c>
      <c r="C32" s="2" t="n">
        <v>-8.4041</v>
      </c>
      <c r="D32" s="2" t="n">
        <v>-13.8714</v>
      </c>
    </row>
    <row r="33" customFormat="false" ht="15" hidden="false" customHeight="false" outlineLevel="0" collapsed="false">
      <c r="A33" s="2" t="s">
        <v>6</v>
      </c>
      <c r="B33" s="2" t="n">
        <v>2024</v>
      </c>
      <c r="C33" s="2" t="n">
        <v>-8.2458</v>
      </c>
      <c r="D33" s="2" t="n">
        <v>-13.574</v>
      </c>
    </row>
    <row r="34" customFormat="false" ht="15" hidden="false" customHeight="false" outlineLevel="0" collapsed="false">
      <c r="A34" s="2" t="s">
        <v>6</v>
      </c>
      <c r="B34" s="2" t="n">
        <v>2025</v>
      </c>
      <c r="C34" s="2" t="n">
        <v>-8.2973</v>
      </c>
      <c r="D34" s="2" t="n">
        <v>-13.6444</v>
      </c>
    </row>
    <row r="35" customFormat="false" ht="15" hidden="false" customHeight="false" outlineLevel="0" collapsed="false">
      <c r="A35" s="2" t="s">
        <v>7</v>
      </c>
      <c r="B35" s="2" t="n">
        <v>2015</v>
      </c>
      <c r="C35" s="2" t="n">
        <v>-7.6263</v>
      </c>
      <c r="D35" s="2" t="n">
        <v>-13.4906</v>
      </c>
    </row>
    <row r="36" customFormat="false" ht="15" hidden="false" customHeight="false" outlineLevel="0" collapsed="false">
      <c r="A36" s="2" t="s">
        <v>7</v>
      </c>
      <c r="B36" s="2" t="n">
        <v>2016</v>
      </c>
      <c r="C36" s="2" t="n">
        <v>-9.8752</v>
      </c>
      <c r="D36" s="2" t="n">
        <v>-15.2393</v>
      </c>
    </row>
    <row r="37" customFormat="false" ht="15" hidden="false" customHeight="false" outlineLevel="0" collapsed="false">
      <c r="A37" s="2" t="s">
        <v>7</v>
      </c>
      <c r="B37" s="2" t="n">
        <v>2017</v>
      </c>
      <c r="C37" s="2" t="n">
        <v>-9.2509</v>
      </c>
      <c r="D37" s="2" t="n">
        <v>-14.6748</v>
      </c>
    </row>
    <row r="38" customFormat="false" ht="15" hidden="false" customHeight="false" outlineLevel="0" collapsed="false">
      <c r="A38" s="2" t="s">
        <v>7</v>
      </c>
      <c r="B38" s="2" t="n">
        <v>2018</v>
      </c>
      <c r="C38" s="2" t="n">
        <v>-8.8923</v>
      </c>
      <c r="D38" s="2" t="n">
        <v>-14.6803</v>
      </c>
    </row>
    <row r="39" customFormat="false" ht="15" hidden="false" customHeight="false" outlineLevel="0" collapsed="false">
      <c r="A39" s="2" t="s">
        <v>7</v>
      </c>
      <c r="B39" s="2" t="n">
        <v>2019</v>
      </c>
      <c r="C39" s="2" t="n">
        <v>-8.9153</v>
      </c>
      <c r="D39" s="2" t="n">
        <v>-14.5483</v>
      </c>
    </row>
    <row r="40" customFormat="false" ht="15" hidden="false" customHeight="false" outlineLevel="0" collapsed="false">
      <c r="A40" s="2" t="s">
        <v>7</v>
      </c>
      <c r="B40" s="2" t="n">
        <v>2020</v>
      </c>
      <c r="C40" s="2" t="n">
        <v>-9.2</v>
      </c>
      <c r="D40" s="2" t="n">
        <v>-14.9117</v>
      </c>
    </row>
    <row r="41" customFormat="false" ht="15" hidden="false" customHeight="false" outlineLevel="0" collapsed="false">
      <c r="A41" s="2" t="s">
        <v>7</v>
      </c>
      <c r="B41" s="2" t="n">
        <v>2021</v>
      </c>
      <c r="C41" s="2" t="n">
        <v>-9.7657</v>
      </c>
      <c r="D41" s="2" t="n">
        <v>-15.3902</v>
      </c>
    </row>
    <row r="42" customFormat="false" ht="15" hidden="false" customHeight="false" outlineLevel="0" collapsed="false">
      <c r="A42" s="2" t="s">
        <v>7</v>
      </c>
      <c r="B42" s="2" t="n">
        <v>2022</v>
      </c>
      <c r="C42" s="2" t="n">
        <v>-8.9716</v>
      </c>
      <c r="D42" s="2" t="n">
        <v>-14.5291</v>
      </c>
    </row>
    <row r="43" customFormat="false" ht="15" hidden="false" customHeight="false" outlineLevel="0" collapsed="false">
      <c r="A43" s="2" t="s">
        <v>7</v>
      </c>
      <c r="B43" s="2" t="n">
        <v>2023</v>
      </c>
      <c r="C43" s="2" t="n">
        <v>-9.5908</v>
      </c>
      <c r="D43" s="2" t="n">
        <v>-15.1594</v>
      </c>
    </row>
    <row r="44" customFormat="false" ht="15" hidden="false" customHeight="false" outlineLevel="0" collapsed="false">
      <c r="A44" s="2" t="s">
        <v>7</v>
      </c>
      <c r="B44" s="2" t="n">
        <v>2024</v>
      </c>
      <c r="C44" s="2" t="n">
        <v>-9.1362</v>
      </c>
      <c r="D44" s="2" t="n">
        <v>-14.7714</v>
      </c>
    </row>
    <row r="45" customFormat="false" ht="15" hidden="false" customHeight="false" outlineLevel="0" collapsed="false">
      <c r="A45" s="2" t="s">
        <v>7</v>
      </c>
      <c r="B45" s="2" t="n">
        <v>2025</v>
      </c>
      <c r="C45" s="2" t="n">
        <v>-9.1145</v>
      </c>
      <c r="D45" s="2" t="n">
        <v>-14.724</v>
      </c>
    </row>
    <row r="46" customFormat="false" ht="15" hidden="false" customHeight="false" outlineLevel="0" collapsed="false">
      <c r="A46" s="2" t="s">
        <v>8</v>
      </c>
      <c r="B46" s="2" t="n">
        <v>2015</v>
      </c>
      <c r="C46" s="2" t="n">
        <v>-9.3107</v>
      </c>
      <c r="D46" s="2" t="n">
        <v>-15.0806</v>
      </c>
    </row>
    <row r="47" customFormat="false" ht="15" hidden="false" customHeight="false" outlineLevel="0" collapsed="false">
      <c r="A47" s="2" t="s">
        <v>8</v>
      </c>
      <c r="B47" s="2" t="n">
        <v>2016</v>
      </c>
      <c r="C47" s="2" t="n">
        <v>-10.4829</v>
      </c>
      <c r="D47" s="2" t="n">
        <v>-15.8237</v>
      </c>
    </row>
    <row r="48" customFormat="false" ht="15" hidden="false" customHeight="false" outlineLevel="0" collapsed="false">
      <c r="A48" s="2" t="s">
        <v>8</v>
      </c>
      <c r="B48" s="2" t="n">
        <v>2017</v>
      </c>
      <c r="C48" s="2" t="n">
        <v>-10.337</v>
      </c>
      <c r="D48" s="2" t="n">
        <v>-15.8009</v>
      </c>
    </row>
    <row r="49" customFormat="false" ht="15" hidden="false" customHeight="false" outlineLevel="0" collapsed="false">
      <c r="A49" s="2" t="s">
        <v>8</v>
      </c>
      <c r="B49" s="2" t="n">
        <v>2018</v>
      </c>
      <c r="C49" s="2" t="n">
        <v>-10.3076</v>
      </c>
      <c r="D49" s="2" t="n">
        <v>-15.9593</v>
      </c>
    </row>
    <row r="50" customFormat="false" ht="15" hidden="false" customHeight="false" outlineLevel="0" collapsed="false">
      <c r="A50" s="2" t="s">
        <v>8</v>
      </c>
      <c r="B50" s="2" t="n">
        <v>2019</v>
      </c>
      <c r="C50" s="2" t="n">
        <v>-10.3494</v>
      </c>
      <c r="D50" s="2" t="n">
        <v>-16.0804</v>
      </c>
    </row>
    <row r="51" customFormat="false" ht="15" hidden="false" customHeight="false" outlineLevel="0" collapsed="false">
      <c r="A51" s="2" t="s">
        <v>8</v>
      </c>
      <c r="B51" s="2" t="n">
        <v>2020</v>
      </c>
      <c r="C51" s="2" t="n">
        <v>-10.0712</v>
      </c>
      <c r="D51" s="2" t="n">
        <v>-15.7553</v>
      </c>
    </row>
    <row r="52" customFormat="false" ht="15" hidden="false" customHeight="false" outlineLevel="0" collapsed="false">
      <c r="A52" s="2" t="s">
        <v>8</v>
      </c>
      <c r="B52" s="2" t="n">
        <v>2021</v>
      </c>
      <c r="C52" s="2" t="n">
        <v>-10.1937</v>
      </c>
      <c r="D52" s="2" t="n">
        <v>-16.085</v>
      </c>
    </row>
    <row r="53" customFormat="false" ht="15" hidden="false" customHeight="false" outlineLevel="0" collapsed="false">
      <c r="A53" s="2" t="s">
        <v>8</v>
      </c>
      <c r="B53" s="2" t="n">
        <v>2022</v>
      </c>
      <c r="C53" s="2" t="n">
        <v>-10.3524</v>
      </c>
      <c r="D53" s="2" t="n">
        <v>-16.1404</v>
      </c>
    </row>
    <row r="54" customFormat="false" ht="15" hidden="false" customHeight="false" outlineLevel="0" collapsed="false">
      <c r="A54" s="2" t="s">
        <v>8</v>
      </c>
      <c r="B54" s="2" t="n">
        <v>2023</v>
      </c>
      <c r="C54" s="2" t="n">
        <v>-10.2685</v>
      </c>
      <c r="D54" s="2" t="n">
        <v>-16.0729</v>
      </c>
    </row>
    <row r="55" customFormat="false" ht="15" hidden="false" customHeight="false" outlineLevel="0" collapsed="false">
      <c r="A55" s="2" t="s">
        <v>8</v>
      </c>
      <c r="B55" s="2" t="n">
        <v>2024</v>
      </c>
      <c r="C55" s="2" t="n">
        <v>-10.3089</v>
      </c>
      <c r="D55" s="2" t="n">
        <v>-16.0198</v>
      </c>
    </row>
    <row r="56" customFormat="false" ht="15" hidden="false" customHeight="false" outlineLevel="0" collapsed="false">
      <c r="A56" s="2" t="s">
        <v>8</v>
      </c>
      <c r="B56" s="2" t="n">
        <v>2025</v>
      </c>
      <c r="C56" s="2" t="n">
        <v>-10.3913</v>
      </c>
      <c r="D56" s="2" t="n">
        <v>-16.0756</v>
      </c>
    </row>
    <row r="57" customFormat="false" ht="15" hidden="false" customHeight="false" outlineLevel="0" collapsed="false">
      <c r="A57" s="2" t="s">
        <v>9</v>
      </c>
      <c r="B57" s="2" t="n">
        <v>2015</v>
      </c>
      <c r="C57" s="2" t="n">
        <v>-8.9953</v>
      </c>
      <c r="D57" s="2" t="n">
        <v>-14.5115</v>
      </c>
    </row>
    <row r="58" customFormat="false" ht="15" hidden="false" customHeight="false" outlineLevel="0" collapsed="false">
      <c r="A58" s="2" t="s">
        <v>9</v>
      </c>
      <c r="B58" s="2" t="n">
        <v>2016</v>
      </c>
      <c r="C58" s="2" t="n">
        <v>-10.2518</v>
      </c>
      <c r="D58" s="2" t="n">
        <v>-15.3958</v>
      </c>
    </row>
    <row r="59" customFormat="false" ht="15" hidden="false" customHeight="false" outlineLevel="0" collapsed="false">
      <c r="A59" s="2" t="s">
        <v>9</v>
      </c>
      <c r="B59" s="2" t="n">
        <v>2017</v>
      </c>
      <c r="C59" s="2" t="n">
        <v>-10.1837</v>
      </c>
      <c r="D59" s="2" t="n">
        <v>-15.3661</v>
      </c>
    </row>
    <row r="60" customFormat="false" ht="15" hidden="false" customHeight="false" outlineLevel="0" collapsed="false">
      <c r="A60" s="2" t="s">
        <v>9</v>
      </c>
      <c r="B60" s="2" t="n">
        <v>2018</v>
      </c>
      <c r="C60" s="2" t="n">
        <v>-10.216</v>
      </c>
      <c r="D60" s="2" t="n">
        <v>-15.5974</v>
      </c>
    </row>
    <row r="61" customFormat="false" ht="15" hidden="false" customHeight="false" outlineLevel="0" collapsed="false">
      <c r="A61" s="2" t="s">
        <v>9</v>
      </c>
      <c r="B61" s="2" t="n">
        <v>2019</v>
      </c>
      <c r="C61" s="2" t="n">
        <v>-10.2941</v>
      </c>
      <c r="D61" s="2" t="n">
        <v>-15.7861</v>
      </c>
    </row>
    <row r="62" customFormat="false" ht="15" hidden="false" customHeight="false" outlineLevel="0" collapsed="false">
      <c r="A62" s="2" t="s">
        <v>9</v>
      </c>
      <c r="B62" s="2" t="n">
        <v>2020</v>
      </c>
      <c r="C62" s="2" t="n">
        <v>-10.1076</v>
      </c>
      <c r="D62" s="2" t="n">
        <v>-15.5627</v>
      </c>
    </row>
    <row r="63" customFormat="false" ht="15" hidden="false" customHeight="false" outlineLevel="0" collapsed="false">
      <c r="A63" s="2" t="s">
        <v>9</v>
      </c>
      <c r="B63" s="2" t="n">
        <v>2021</v>
      </c>
      <c r="C63" s="2" t="n">
        <v>-10.0132</v>
      </c>
      <c r="D63" s="2" t="n">
        <v>-15.4827</v>
      </c>
    </row>
    <row r="64" customFormat="false" ht="15" hidden="false" customHeight="false" outlineLevel="0" collapsed="false">
      <c r="A64" s="2" t="s">
        <v>9</v>
      </c>
      <c r="B64" s="2" t="n">
        <v>2022</v>
      </c>
      <c r="C64" s="2" t="n">
        <v>-9.9812</v>
      </c>
      <c r="D64" s="2" t="n">
        <v>-15.3928</v>
      </c>
    </row>
    <row r="65" customFormat="false" ht="15" hidden="false" customHeight="false" outlineLevel="0" collapsed="false">
      <c r="A65" s="2" t="s">
        <v>9</v>
      </c>
      <c r="B65" s="2" t="n">
        <v>2023</v>
      </c>
      <c r="C65" s="2" t="n">
        <v>-9.9811</v>
      </c>
      <c r="D65" s="2" t="n">
        <v>-15.4105</v>
      </c>
    </row>
    <row r="66" customFormat="false" ht="15" hidden="false" customHeight="false" outlineLevel="0" collapsed="false">
      <c r="A66" s="2" t="s">
        <v>9</v>
      </c>
      <c r="B66" s="2" t="n">
        <v>2024</v>
      </c>
      <c r="C66" s="2" t="n">
        <v>-10.2475</v>
      </c>
      <c r="D66" s="2" t="n">
        <v>-15.6177</v>
      </c>
    </row>
    <row r="67" customFormat="false" ht="15" hidden="false" customHeight="false" outlineLevel="0" collapsed="false">
      <c r="A67" s="2" t="s">
        <v>9</v>
      </c>
      <c r="B67" s="2" t="n">
        <v>2025</v>
      </c>
      <c r="C67" s="2" t="n">
        <v>-10.1803</v>
      </c>
      <c r="D67" s="2" t="n">
        <v>-15.5991</v>
      </c>
    </row>
    <row r="68" customFormat="false" ht="15" hidden="false" customHeight="false" outlineLevel="0" collapsed="false">
      <c r="A68" s="2" t="s">
        <v>10</v>
      </c>
      <c r="B68" s="2" t="n">
        <v>2015</v>
      </c>
      <c r="C68" s="2" t="n">
        <v>-9.425</v>
      </c>
      <c r="D68" s="2" t="n">
        <v>-15.3816</v>
      </c>
    </row>
    <row r="69" customFormat="false" ht="15" hidden="false" customHeight="false" outlineLevel="0" collapsed="false">
      <c r="A69" s="2" t="s">
        <v>10</v>
      </c>
      <c r="B69" s="2" t="n">
        <v>2016</v>
      </c>
      <c r="C69" s="2" t="n">
        <v>-10.5812</v>
      </c>
      <c r="D69" s="2" t="n">
        <v>-16.1126</v>
      </c>
    </row>
    <row r="70" customFormat="false" ht="15" hidden="false" customHeight="false" outlineLevel="0" collapsed="false">
      <c r="A70" s="2" t="s">
        <v>10</v>
      </c>
      <c r="B70" s="2" t="n">
        <v>2017</v>
      </c>
      <c r="C70" s="2" t="n">
        <v>-10.5185</v>
      </c>
      <c r="D70" s="2" t="n">
        <v>-16.2097</v>
      </c>
    </row>
    <row r="71" customFormat="false" ht="15" hidden="false" customHeight="false" outlineLevel="0" collapsed="false">
      <c r="A71" s="2" t="s">
        <v>10</v>
      </c>
      <c r="B71" s="2" t="n">
        <v>2018</v>
      </c>
      <c r="C71" s="2" t="n">
        <v>-10.5467</v>
      </c>
      <c r="D71" s="2" t="n">
        <v>-16.3862</v>
      </c>
    </row>
    <row r="72" customFormat="false" ht="15" hidden="false" customHeight="false" outlineLevel="0" collapsed="false">
      <c r="A72" s="2" t="s">
        <v>10</v>
      </c>
      <c r="B72" s="2" t="n">
        <v>2019</v>
      </c>
      <c r="C72" s="2" t="n">
        <v>-10.4465</v>
      </c>
      <c r="D72" s="2" t="n">
        <v>-16.4065</v>
      </c>
    </row>
    <row r="73" customFormat="false" ht="15" hidden="false" customHeight="false" outlineLevel="0" collapsed="false">
      <c r="A73" s="2" t="s">
        <v>10</v>
      </c>
      <c r="B73" s="2" t="n">
        <v>2020</v>
      </c>
      <c r="C73" s="2" t="n">
        <v>-10.4483</v>
      </c>
      <c r="D73" s="2" t="n">
        <v>-16.421</v>
      </c>
    </row>
    <row r="74" customFormat="false" ht="15" hidden="false" customHeight="false" outlineLevel="0" collapsed="false">
      <c r="A74" s="2" t="s">
        <v>10</v>
      </c>
      <c r="B74" s="2" t="n">
        <v>2021</v>
      </c>
      <c r="C74" s="2" t="n">
        <v>-10.3457</v>
      </c>
      <c r="D74" s="2" t="n">
        <v>-16.3731</v>
      </c>
    </row>
    <row r="75" customFormat="false" ht="15" hidden="false" customHeight="false" outlineLevel="0" collapsed="false">
      <c r="A75" s="2" t="s">
        <v>10</v>
      </c>
      <c r="B75" s="2" t="n">
        <v>2022</v>
      </c>
      <c r="C75" s="2" t="n">
        <v>-10.3615</v>
      </c>
      <c r="D75" s="2" t="n">
        <v>-16.3582</v>
      </c>
    </row>
    <row r="76" customFormat="false" ht="15" hidden="false" customHeight="false" outlineLevel="0" collapsed="false">
      <c r="A76" s="2" t="s">
        <v>10</v>
      </c>
      <c r="B76" s="2" t="n">
        <v>2023</v>
      </c>
      <c r="C76" s="2" t="n">
        <v>-10.3659</v>
      </c>
      <c r="D76" s="2" t="n">
        <v>-16.3281</v>
      </c>
    </row>
    <row r="77" customFormat="false" ht="15" hidden="false" customHeight="false" outlineLevel="0" collapsed="false">
      <c r="A77" s="2" t="s">
        <v>10</v>
      </c>
      <c r="B77" s="2" t="n">
        <v>2024</v>
      </c>
      <c r="C77" s="2" t="n">
        <v>-10.5837</v>
      </c>
      <c r="D77" s="2" t="n">
        <v>-16.5655</v>
      </c>
    </row>
    <row r="78" customFormat="false" ht="15" hidden="false" customHeight="false" outlineLevel="0" collapsed="false">
      <c r="A78" s="2" t="s">
        <v>10</v>
      </c>
      <c r="B78" s="2" t="n">
        <v>2025</v>
      </c>
      <c r="C78" s="2" t="n">
        <v>-10.5679</v>
      </c>
      <c r="D78" s="2" t="n">
        <v>-16.4599</v>
      </c>
    </row>
    <row r="79" customFormat="false" ht="15" hidden="false" customHeight="false" outlineLevel="0" collapsed="false">
      <c r="A79" s="2" t="s">
        <v>11</v>
      </c>
      <c r="B79" s="2" t="n">
        <v>2015</v>
      </c>
      <c r="C79" s="2" t="n">
        <v>-8.8943</v>
      </c>
      <c r="D79" s="2" t="n">
        <v>-14.4816</v>
      </c>
    </row>
    <row r="80" customFormat="false" ht="15" hidden="false" customHeight="false" outlineLevel="0" collapsed="false">
      <c r="A80" s="2" t="s">
        <v>11</v>
      </c>
      <c r="B80" s="2" t="n">
        <v>2016</v>
      </c>
      <c r="C80" s="2" t="n">
        <v>-10.2307</v>
      </c>
      <c r="D80" s="2" t="n">
        <v>-15.4594</v>
      </c>
    </row>
    <row r="81" customFormat="false" ht="15" hidden="false" customHeight="false" outlineLevel="0" collapsed="false">
      <c r="A81" s="2" t="s">
        <v>11</v>
      </c>
      <c r="B81" s="2" t="n">
        <v>2017</v>
      </c>
      <c r="C81" s="2" t="n">
        <v>-10.0521</v>
      </c>
      <c r="D81" s="2" t="n">
        <v>-15.3425</v>
      </c>
    </row>
    <row r="82" customFormat="false" ht="15" hidden="false" customHeight="false" outlineLevel="0" collapsed="false">
      <c r="A82" s="2" t="s">
        <v>11</v>
      </c>
      <c r="B82" s="2" t="n">
        <v>2018</v>
      </c>
      <c r="C82" s="2" t="n">
        <v>-9.7721</v>
      </c>
      <c r="D82" s="2" t="n">
        <v>-15.1639</v>
      </c>
    </row>
    <row r="83" customFormat="false" ht="15" hidden="false" customHeight="false" outlineLevel="0" collapsed="false">
      <c r="A83" s="2" t="s">
        <v>11</v>
      </c>
      <c r="B83" s="2" t="n">
        <v>2019</v>
      </c>
      <c r="C83" s="2" t="n">
        <v>-10.0076</v>
      </c>
      <c r="D83" s="2" t="n">
        <v>-15.6119</v>
      </c>
    </row>
    <row r="84" customFormat="false" ht="15" hidden="false" customHeight="false" outlineLevel="0" collapsed="false">
      <c r="A84" s="2" t="s">
        <v>11</v>
      </c>
      <c r="B84" s="2" t="n">
        <v>2020</v>
      </c>
      <c r="C84" s="2" t="n">
        <v>-9.8212</v>
      </c>
      <c r="D84" s="2" t="n">
        <v>-15.3706</v>
      </c>
    </row>
    <row r="85" customFormat="false" ht="15" hidden="false" customHeight="false" outlineLevel="0" collapsed="false">
      <c r="A85" s="2" t="s">
        <v>11</v>
      </c>
      <c r="B85" s="2" t="n">
        <v>2021</v>
      </c>
      <c r="C85" s="2" t="n">
        <v>-9.8093</v>
      </c>
      <c r="D85" s="2" t="n">
        <v>-15.4221</v>
      </c>
    </row>
    <row r="86" customFormat="false" ht="15" hidden="false" customHeight="false" outlineLevel="0" collapsed="false">
      <c r="A86" s="2" t="s">
        <v>11</v>
      </c>
      <c r="B86" s="2" t="n">
        <v>2022</v>
      </c>
      <c r="C86" s="2" t="n">
        <v>-9.7453</v>
      </c>
      <c r="D86" s="2" t="n">
        <v>-15.2026</v>
      </c>
    </row>
    <row r="87" customFormat="false" ht="15" hidden="false" customHeight="false" outlineLevel="0" collapsed="false">
      <c r="A87" s="2" t="s">
        <v>11</v>
      </c>
      <c r="B87" s="2" t="n">
        <v>2023</v>
      </c>
      <c r="C87" s="2" t="n">
        <v>-9.4995</v>
      </c>
      <c r="D87" s="2" t="n">
        <v>-14.9561</v>
      </c>
    </row>
    <row r="88" customFormat="false" ht="15" hidden="false" customHeight="false" outlineLevel="0" collapsed="false">
      <c r="A88" s="2" t="s">
        <v>11</v>
      </c>
      <c r="B88" s="2" t="n">
        <v>2024</v>
      </c>
      <c r="C88" s="2" t="n">
        <v>-9.9123</v>
      </c>
      <c r="D88" s="2" t="n">
        <v>-15.36</v>
      </c>
    </row>
    <row r="89" customFormat="false" ht="15" hidden="false" customHeight="false" outlineLevel="0" collapsed="false">
      <c r="A89" s="2" t="s">
        <v>11</v>
      </c>
      <c r="B89" s="2" t="n">
        <v>2025</v>
      </c>
      <c r="C89" s="2" t="n">
        <v>-9.7863</v>
      </c>
      <c r="D89" s="2" t="n">
        <v>-15.2693</v>
      </c>
    </row>
    <row r="90" customFormat="false" ht="15" hidden="false" customHeight="false" outlineLevel="0" collapsed="false">
      <c r="A90" s="2" t="s">
        <v>12</v>
      </c>
      <c r="B90" s="2" t="n">
        <v>2015</v>
      </c>
      <c r="C90" s="2" t="n">
        <v>-8.8484</v>
      </c>
      <c r="D90" s="2" t="n">
        <v>-14.5127</v>
      </c>
    </row>
    <row r="91" customFormat="false" ht="15" hidden="false" customHeight="false" outlineLevel="0" collapsed="false">
      <c r="A91" s="2" t="s">
        <v>12</v>
      </c>
      <c r="B91" s="2" t="n">
        <v>2016</v>
      </c>
      <c r="C91" s="2" t="n">
        <v>-10.1896</v>
      </c>
      <c r="D91" s="2" t="n">
        <v>-15.4914</v>
      </c>
    </row>
    <row r="92" customFormat="false" ht="15" hidden="false" customHeight="false" outlineLevel="0" collapsed="false">
      <c r="A92" s="2" t="s">
        <v>12</v>
      </c>
      <c r="B92" s="2" t="n">
        <v>2017</v>
      </c>
      <c r="C92" s="2" t="n">
        <v>-10.0931</v>
      </c>
      <c r="D92" s="2" t="n">
        <v>-15.4893</v>
      </c>
    </row>
    <row r="93" customFormat="false" ht="15" hidden="false" customHeight="false" outlineLevel="0" collapsed="false">
      <c r="A93" s="2" t="s">
        <v>12</v>
      </c>
      <c r="B93" s="2" t="n">
        <v>2018</v>
      </c>
      <c r="C93" s="2" t="n">
        <v>-9.8609</v>
      </c>
      <c r="D93" s="2" t="n">
        <v>-15.329</v>
      </c>
    </row>
    <row r="94" customFormat="false" ht="15" hidden="false" customHeight="false" outlineLevel="0" collapsed="false">
      <c r="A94" s="2" t="s">
        <v>12</v>
      </c>
      <c r="B94" s="2" t="n">
        <v>2019</v>
      </c>
      <c r="C94" s="2" t="n">
        <v>-10.1069</v>
      </c>
      <c r="D94" s="2" t="n">
        <v>-15.8121</v>
      </c>
    </row>
    <row r="95" customFormat="false" ht="15" hidden="false" customHeight="false" outlineLevel="0" collapsed="false">
      <c r="A95" s="2" t="s">
        <v>12</v>
      </c>
      <c r="B95" s="2" t="n">
        <v>2020</v>
      </c>
      <c r="C95" s="2" t="n">
        <v>-10.01</v>
      </c>
      <c r="D95" s="2" t="n">
        <v>-15.6514</v>
      </c>
    </row>
    <row r="96" customFormat="false" ht="15" hidden="false" customHeight="false" outlineLevel="0" collapsed="false">
      <c r="A96" s="2" t="s">
        <v>12</v>
      </c>
      <c r="B96" s="2" t="n">
        <v>2021</v>
      </c>
      <c r="C96" s="2" t="n">
        <v>-9.9662</v>
      </c>
      <c r="D96" s="2" t="n">
        <v>-15.6442</v>
      </c>
    </row>
    <row r="97" customFormat="false" ht="15" hidden="false" customHeight="false" outlineLevel="0" collapsed="false">
      <c r="A97" s="2" t="s">
        <v>12</v>
      </c>
      <c r="B97" s="2" t="n">
        <v>2022</v>
      </c>
      <c r="C97" s="2" t="n">
        <v>-9.8556</v>
      </c>
      <c r="D97" s="2" t="n">
        <v>-15.4123</v>
      </c>
    </row>
    <row r="98" customFormat="false" ht="15" hidden="false" customHeight="false" outlineLevel="0" collapsed="false">
      <c r="A98" s="2" t="s">
        <v>12</v>
      </c>
      <c r="B98" s="2" t="n">
        <v>2023</v>
      </c>
      <c r="C98" s="2" t="n">
        <v>-9.5952</v>
      </c>
      <c r="D98" s="2" t="n">
        <v>-15.0634</v>
      </c>
    </row>
    <row r="99" customFormat="false" ht="15" hidden="false" customHeight="false" outlineLevel="0" collapsed="false">
      <c r="A99" s="2" t="s">
        <v>12</v>
      </c>
      <c r="B99" s="2" t="n">
        <v>2024</v>
      </c>
      <c r="C99" s="2" t="n">
        <v>-10.0212</v>
      </c>
      <c r="D99" s="2" t="n">
        <v>-15.5862</v>
      </c>
    </row>
    <row r="100" customFormat="false" ht="15" hidden="false" customHeight="false" outlineLevel="0" collapsed="false">
      <c r="A100" s="2" t="s">
        <v>12</v>
      </c>
      <c r="B100" s="2" t="n">
        <v>2025</v>
      </c>
      <c r="C100" s="2" t="n">
        <v>-9.9638</v>
      </c>
      <c r="D100" s="2" t="n">
        <v>-15.5469</v>
      </c>
    </row>
    <row r="101" customFormat="false" ht="15" hidden="false" customHeight="false" outlineLevel="0" collapsed="false">
      <c r="A101" s="2" t="s">
        <v>13</v>
      </c>
      <c r="B101" s="2" t="n">
        <v>2015</v>
      </c>
      <c r="C101" s="2" t="n">
        <v>-8.7246</v>
      </c>
      <c r="D101" s="2" t="n">
        <v>-14.5733</v>
      </c>
    </row>
    <row r="102" customFormat="false" ht="15" hidden="false" customHeight="false" outlineLevel="0" collapsed="false">
      <c r="A102" s="2" t="s">
        <v>13</v>
      </c>
      <c r="B102" s="2" t="n">
        <v>2016</v>
      </c>
      <c r="C102" s="2" t="n">
        <v>-9.8062</v>
      </c>
      <c r="D102" s="2" t="n">
        <v>-15.1911</v>
      </c>
    </row>
    <row r="103" customFormat="false" ht="15" hidden="false" customHeight="false" outlineLevel="0" collapsed="false">
      <c r="A103" s="2" t="s">
        <v>13</v>
      </c>
      <c r="B103" s="2" t="n">
        <v>2017</v>
      </c>
      <c r="C103" s="2" t="n">
        <v>-9.6928</v>
      </c>
      <c r="D103" s="2" t="n">
        <v>-15.2316</v>
      </c>
    </row>
    <row r="104" customFormat="false" ht="15" hidden="false" customHeight="false" outlineLevel="0" collapsed="false">
      <c r="A104" s="2" t="s">
        <v>13</v>
      </c>
      <c r="B104" s="2" t="n">
        <v>2018</v>
      </c>
      <c r="C104" s="2" t="n">
        <v>-9.9648</v>
      </c>
      <c r="D104" s="2" t="n">
        <v>-15.7501</v>
      </c>
    </row>
    <row r="105" customFormat="false" ht="15" hidden="false" customHeight="false" outlineLevel="0" collapsed="false">
      <c r="A105" s="2" t="s">
        <v>13</v>
      </c>
      <c r="B105" s="2" t="n">
        <v>2019</v>
      </c>
      <c r="C105" s="2" t="n">
        <v>-9.6798</v>
      </c>
      <c r="D105" s="2" t="n">
        <v>-15.459</v>
      </c>
    </row>
    <row r="106" customFormat="false" ht="15" hidden="false" customHeight="false" outlineLevel="0" collapsed="false">
      <c r="A106" s="2" t="s">
        <v>13</v>
      </c>
      <c r="B106" s="2" t="n">
        <v>2020</v>
      </c>
      <c r="C106" s="2" t="n">
        <v>-9.8204</v>
      </c>
      <c r="D106" s="2" t="n">
        <v>-15.6131</v>
      </c>
    </row>
    <row r="107" customFormat="false" ht="15" hidden="false" customHeight="false" outlineLevel="0" collapsed="false">
      <c r="A107" s="2" t="s">
        <v>13</v>
      </c>
      <c r="B107" s="2" t="n">
        <v>2021</v>
      </c>
      <c r="C107" s="2" t="n">
        <v>-9.7106</v>
      </c>
      <c r="D107" s="2" t="n">
        <v>-15.5544</v>
      </c>
    </row>
    <row r="108" customFormat="false" ht="15" hidden="false" customHeight="false" outlineLevel="0" collapsed="false">
      <c r="A108" s="2" t="s">
        <v>13</v>
      </c>
      <c r="B108" s="2" t="n">
        <v>2022</v>
      </c>
      <c r="C108" s="2" t="n">
        <v>-9.4052</v>
      </c>
      <c r="D108" s="2" t="n">
        <v>-15.0824</v>
      </c>
    </row>
    <row r="109" customFormat="false" ht="15" hidden="false" customHeight="false" outlineLevel="0" collapsed="false">
      <c r="A109" s="2" t="s">
        <v>13</v>
      </c>
      <c r="B109" s="2" t="n">
        <v>2023</v>
      </c>
      <c r="C109" s="2" t="n">
        <v>-9.6024</v>
      </c>
      <c r="D109" s="2" t="n">
        <v>-15.3921</v>
      </c>
    </row>
    <row r="110" customFormat="false" ht="15" hidden="false" customHeight="false" outlineLevel="0" collapsed="false">
      <c r="A110" s="2" t="s">
        <v>13</v>
      </c>
      <c r="B110" s="2" t="n">
        <v>2024</v>
      </c>
      <c r="C110" s="2" t="n">
        <v>-9.7886</v>
      </c>
      <c r="D110" s="2" t="n">
        <v>-15.5257</v>
      </c>
    </row>
    <row r="111" customFormat="false" ht="15" hidden="false" customHeight="false" outlineLevel="0" collapsed="false">
      <c r="A111" s="2" t="s">
        <v>13</v>
      </c>
      <c r="B111" s="2" t="n">
        <v>2025</v>
      </c>
      <c r="C111" s="2" t="n">
        <v>-9.7057</v>
      </c>
      <c r="D111" s="2" t="n">
        <v>-15.3601</v>
      </c>
    </row>
    <row r="112" customFormat="false" ht="15" hidden="false" customHeight="false" outlineLevel="0" collapsed="false">
      <c r="A112" s="2" t="s">
        <v>14</v>
      </c>
      <c r="B112" s="2" t="n">
        <v>2015</v>
      </c>
      <c r="C112" s="2" t="n">
        <v>-9.0246</v>
      </c>
      <c r="D112" s="2" t="n">
        <v>-14.6701</v>
      </c>
    </row>
    <row r="113" customFormat="false" ht="15" hidden="false" customHeight="false" outlineLevel="0" collapsed="false">
      <c r="A113" s="2" t="s">
        <v>14</v>
      </c>
      <c r="B113" s="2" t="n">
        <v>2016</v>
      </c>
      <c r="C113" s="2" t="n">
        <v>-9.9237</v>
      </c>
      <c r="D113" s="2" t="n">
        <v>-15.2163</v>
      </c>
    </row>
    <row r="114" customFormat="false" ht="15" hidden="false" customHeight="false" outlineLevel="0" collapsed="false">
      <c r="A114" s="2" t="s">
        <v>14</v>
      </c>
      <c r="B114" s="2" t="n">
        <v>2017</v>
      </c>
      <c r="C114" s="2" t="n">
        <v>-9.5816</v>
      </c>
      <c r="D114" s="2" t="n">
        <v>-14.9827</v>
      </c>
    </row>
    <row r="115" customFormat="false" ht="15" hidden="false" customHeight="false" outlineLevel="0" collapsed="false">
      <c r="A115" s="2" t="s">
        <v>14</v>
      </c>
      <c r="B115" s="2" t="n">
        <v>2018</v>
      </c>
      <c r="C115" s="2" t="n">
        <v>-9.7813</v>
      </c>
      <c r="D115" s="2" t="n">
        <v>-15.3482</v>
      </c>
    </row>
    <row r="116" customFormat="false" ht="15" hidden="false" customHeight="false" outlineLevel="0" collapsed="false">
      <c r="A116" s="2" t="s">
        <v>14</v>
      </c>
      <c r="B116" s="2" t="n">
        <v>2019</v>
      </c>
      <c r="C116" s="2" t="n">
        <v>-9.5582</v>
      </c>
      <c r="D116" s="2" t="n">
        <v>-15.167</v>
      </c>
    </row>
    <row r="117" customFormat="false" ht="15" hidden="false" customHeight="false" outlineLevel="0" collapsed="false">
      <c r="A117" s="2" t="s">
        <v>14</v>
      </c>
      <c r="B117" s="2" t="n">
        <v>2020</v>
      </c>
      <c r="C117" s="2" t="n">
        <v>-9.69</v>
      </c>
      <c r="D117" s="2" t="n">
        <v>-15.2944</v>
      </c>
    </row>
    <row r="118" customFormat="false" ht="15" hidden="false" customHeight="false" outlineLevel="0" collapsed="false">
      <c r="A118" s="2" t="s">
        <v>14</v>
      </c>
      <c r="B118" s="2" t="n">
        <v>2021</v>
      </c>
      <c r="C118" s="2" t="n">
        <v>-9.6562</v>
      </c>
      <c r="D118" s="2" t="n">
        <v>-15.2353</v>
      </c>
    </row>
    <row r="119" customFormat="false" ht="15" hidden="false" customHeight="false" outlineLevel="0" collapsed="false">
      <c r="A119" s="2" t="s">
        <v>14</v>
      </c>
      <c r="B119" s="2" t="n">
        <v>2022</v>
      </c>
      <c r="C119" s="2" t="n">
        <v>-9.3928</v>
      </c>
      <c r="D119" s="2" t="n">
        <v>-14.855</v>
      </c>
    </row>
    <row r="120" customFormat="false" ht="15" hidden="false" customHeight="false" outlineLevel="0" collapsed="false">
      <c r="A120" s="2" t="s">
        <v>14</v>
      </c>
      <c r="B120" s="2" t="n">
        <v>2023</v>
      </c>
      <c r="C120" s="2" t="n">
        <v>-9.5536</v>
      </c>
      <c r="D120" s="2" t="n">
        <v>-15.0688</v>
      </c>
    </row>
    <row r="121" customFormat="false" ht="15" hidden="false" customHeight="false" outlineLevel="0" collapsed="false">
      <c r="A121" s="2" t="s">
        <v>14</v>
      </c>
      <c r="B121" s="2" t="n">
        <v>2024</v>
      </c>
      <c r="C121" s="2" t="n">
        <v>-9.6892</v>
      </c>
      <c r="D121" s="2" t="n">
        <v>-15.1699</v>
      </c>
    </row>
    <row r="122" customFormat="false" ht="15" hidden="false" customHeight="false" outlineLevel="0" collapsed="false">
      <c r="A122" s="2" t="s">
        <v>14</v>
      </c>
      <c r="B122" s="2" t="n">
        <v>2025</v>
      </c>
      <c r="C122" s="2" t="n">
        <v>-9.583</v>
      </c>
      <c r="D122" s="2" t="n">
        <v>-15.057</v>
      </c>
    </row>
    <row r="123" customFormat="false" ht="15" hidden="false" customHeight="false" outlineLevel="0" collapsed="false">
      <c r="A123" s="2" t="s">
        <v>15</v>
      </c>
      <c r="B123" s="2" t="n">
        <v>2015</v>
      </c>
      <c r="C123" s="2" t="n">
        <v>-8.1148</v>
      </c>
      <c r="D123" s="2" t="n">
        <v>-13.8946</v>
      </c>
    </row>
    <row r="124" customFormat="false" ht="15" hidden="false" customHeight="false" outlineLevel="0" collapsed="false">
      <c r="A124" s="2" t="s">
        <v>15</v>
      </c>
      <c r="B124" s="2" t="n">
        <v>2016</v>
      </c>
      <c r="C124" s="2" t="n">
        <v>-9.3951</v>
      </c>
      <c r="D124" s="2" t="n">
        <v>-14.8486</v>
      </c>
    </row>
    <row r="125" customFormat="false" ht="15" hidden="false" customHeight="false" outlineLevel="0" collapsed="false">
      <c r="A125" s="2" t="s">
        <v>15</v>
      </c>
      <c r="B125" s="2" t="n">
        <v>2017</v>
      </c>
      <c r="C125" s="2" t="n">
        <v>-9.2029</v>
      </c>
      <c r="D125" s="2" t="n">
        <v>-14.6386</v>
      </c>
    </row>
    <row r="126" customFormat="false" ht="15" hidden="false" customHeight="false" outlineLevel="0" collapsed="false">
      <c r="A126" s="2" t="s">
        <v>15</v>
      </c>
      <c r="B126" s="2" t="n">
        <v>2018</v>
      </c>
      <c r="C126" s="2" t="n">
        <v>-9.3653</v>
      </c>
      <c r="D126" s="2" t="n">
        <v>-15.0225</v>
      </c>
    </row>
    <row r="127" customFormat="false" ht="15" hidden="false" customHeight="false" outlineLevel="0" collapsed="false">
      <c r="A127" s="2" t="s">
        <v>15</v>
      </c>
      <c r="B127" s="2" t="n">
        <v>2019</v>
      </c>
      <c r="C127" s="2" t="n">
        <v>-9.0099</v>
      </c>
      <c r="D127" s="2" t="n">
        <v>-14.7005</v>
      </c>
    </row>
    <row r="128" customFormat="false" ht="15" hidden="false" customHeight="false" outlineLevel="0" collapsed="false">
      <c r="A128" s="2" t="s">
        <v>15</v>
      </c>
      <c r="B128" s="2" t="n">
        <v>2020</v>
      </c>
      <c r="C128" s="2" t="n">
        <v>-9.2475</v>
      </c>
      <c r="D128" s="2" t="n">
        <v>-14.9503</v>
      </c>
    </row>
    <row r="129" customFormat="false" ht="15" hidden="false" customHeight="false" outlineLevel="0" collapsed="false">
      <c r="A129" s="2" t="s">
        <v>15</v>
      </c>
      <c r="B129" s="2" t="n">
        <v>2021</v>
      </c>
      <c r="C129" s="2" t="n">
        <v>-9.1909</v>
      </c>
      <c r="D129" s="2" t="n">
        <v>-14.8889</v>
      </c>
    </row>
    <row r="130" customFormat="false" ht="15" hidden="false" customHeight="false" outlineLevel="0" collapsed="false">
      <c r="A130" s="2" t="s">
        <v>15</v>
      </c>
      <c r="B130" s="2" t="n">
        <v>2022</v>
      </c>
      <c r="C130" s="2" t="n">
        <v>-8.9281</v>
      </c>
      <c r="D130" s="2" t="n">
        <v>-14.542</v>
      </c>
    </row>
    <row r="131" customFormat="false" ht="15" hidden="false" customHeight="false" outlineLevel="0" collapsed="false">
      <c r="A131" s="2" t="s">
        <v>15</v>
      </c>
      <c r="B131" s="2" t="n">
        <v>2023</v>
      </c>
      <c r="C131" s="2" t="n">
        <v>-9.0902</v>
      </c>
      <c r="D131" s="2" t="n">
        <v>-14.7955</v>
      </c>
    </row>
    <row r="132" customFormat="false" ht="15" hidden="false" customHeight="false" outlineLevel="0" collapsed="false">
      <c r="A132" s="2" t="s">
        <v>15</v>
      </c>
      <c r="B132" s="2" t="n">
        <v>2024</v>
      </c>
      <c r="C132" s="2" t="n">
        <v>-9.181</v>
      </c>
      <c r="D132" s="2" t="n">
        <v>-14.819</v>
      </c>
    </row>
    <row r="133" customFormat="false" ht="15" hidden="false" customHeight="false" outlineLevel="0" collapsed="false">
      <c r="A133" s="2" t="s">
        <v>15</v>
      </c>
      <c r="B133" s="2" t="n">
        <v>2025</v>
      </c>
      <c r="C133" s="2" t="n">
        <v>-9.1148</v>
      </c>
      <c r="D133" s="2" t="n">
        <v>-14.7083</v>
      </c>
    </row>
    <row r="134" customFormat="false" ht="15" hidden="false" customHeight="false" outlineLevel="0" collapsed="false">
      <c r="A134" s="2" t="s">
        <v>16</v>
      </c>
      <c r="B134" s="2" t="n">
        <v>2015</v>
      </c>
      <c r="C134" s="2" t="n">
        <v>-7.9382</v>
      </c>
      <c r="D134" s="2" t="n">
        <v>-13.278</v>
      </c>
    </row>
    <row r="135" customFormat="false" ht="15" hidden="false" customHeight="false" outlineLevel="0" collapsed="false">
      <c r="A135" s="2" t="s">
        <v>16</v>
      </c>
      <c r="B135" s="2" t="n">
        <v>2016</v>
      </c>
      <c r="C135" s="2" t="n">
        <v>-9.2818</v>
      </c>
      <c r="D135" s="2" t="n">
        <v>-14.253</v>
      </c>
    </row>
    <row r="136" customFormat="false" ht="15" hidden="false" customHeight="false" outlineLevel="0" collapsed="false">
      <c r="A136" s="2" t="s">
        <v>16</v>
      </c>
      <c r="B136" s="2" t="n">
        <v>2017</v>
      </c>
      <c r="C136" s="2" t="n">
        <v>-9.0586</v>
      </c>
      <c r="D136" s="2" t="n">
        <v>-14.0139</v>
      </c>
    </row>
    <row r="137" customFormat="false" ht="15" hidden="false" customHeight="false" outlineLevel="0" collapsed="false">
      <c r="A137" s="2" t="s">
        <v>16</v>
      </c>
      <c r="B137" s="2" t="n">
        <v>2018</v>
      </c>
      <c r="C137" s="2" t="n">
        <v>-9.1892</v>
      </c>
      <c r="D137" s="2" t="n">
        <v>-14.2962</v>
      </c>
    </row>
    <row r="138" customFormat="false" ht="15" hidden="false" customHeight="false" outlineLevel="0" collapsed="false">
      <c r="A138" s="2" t="s">
        <v>16</v>
      </c>
      <c r="B138" s="2" t="n">
        <v>2019</v>
      </c>
      <c r="C138" s="2" t="n">
        <v>-8.8162</v>
      </c>
      <c r="D138" s="2" t="n">
        <v>-14.0242</v>
      </c>
    </row>
    <row r="139" customFormat="false" ht="15" hidden="false" customHeight="false" outlineLevel="0" collapsed="false">
      <c r="A139" s="2" t="s">
        <v>16</v>
      </c>
      <c r="B139" s="2" t="n">
        <v>2020</v>
      </c>
      <c r="C139" s="2" t="n">
        <v>-9.0078</v>
      </c>
      <c r="D139" s="2" t="n">
        <v>-14.2416</v>
      </c>
    </row>
    <row r="140" customFormat="false" ht="15" hidden="false" customHeight="false" outlineLevel="0" collapsed="false">
      <c r="A140" s="2" t="s">
        <v>16</v>
      </c>
      <c r="B140" s="2" t="n">
        <v>2021</v>
      </c>
      <c r="C140" s="2" t="n">
        <v>-9.0157</v>
      </c>
      <c r="D140" s="2" t="n">
        <v>-14.2635</v>
      </c>
    </row>
    <row r="141" customFormat="false" ht="15" hidden="false" customHeight="false" outlineLevel="0" collapsed="false">
      <c r="A141" s="2" t="s">
        <v>16</v>
      </c>
      <c r="B141" s="2" t="n">
        <v>2022</v>
      </c>
      <c r="C141" s="2" t="n">
        <v>-8.7637</v>
      </c>
      <c r="D141" s="2" t="n">
        <v>-13.9541</v>
      </c>
    </row>
    <row r="142" customFormat="false" ht="15" hidden="false" customHeight="false" outlineLevel="0" collapsed="false">
      <c r="A142" s="2" t="s">
        <v>16</v>
      </c>
      <c r="B142" s="2" t="n">
        <v>2023</v>
      </c>
      <c r="C142" s="2" t="n">
        <v>-9.0102</v>
      </c>
      <c r="D142" s="2" t="n">
        <v>-14.2272</v>
      </c>
    </row>
    <row r="143" customFormat="false" ht="15" hidden="false" customHeight="false" outlineLevel="0" collapsed="false">
      <c r="A143" s="2" t="s">
        <v>16</v>
      </c>
      <c r="B143" s="2" t="n">
        <v>2024</v>
      </c>
      <c r="C143" s="2" t="n">
        <v>-9.0161</v>
      </c>
      <c r="D143" s="2" t="n">
        <v>-14.2078</v>
      </c>
    </row>
    <row r="144" customFormat="false" ht="15" hidden="false" customHeight="false" outlineLevel="0" collapsed="false">
      <c r="A144" s="2" t="s">
        <v>16</v>
      </c>
      <c r="B144" s="2" t="n">
        <v>2025</v>
      </c>
      <c r="C144" s="2" t="n">
        <v>-8.9227</v>
      </c>
      <c r="D144" s="2" t="n">
        <v>-14.0908</v>
      </c>
    </row>
    <row r="145" customFormat="false" ht="15" hidden="false" customHeight="false" outlineLevel="0" collapsed="false">
      <c r="A145" s="2" t="s">
        <v>17</v>
      </c>
      <c r="B145" s="2" t="n">
        <v>2015</v>
      </c>
      <c r="C145" s="2" t="n">
        <v>-9.0295</v>
      </c>
      <c r="D145" s="2" t="n">
        <v>-14.9467</v>
      </c>
    </row>
    <row r="146" customFormat="false" ht="15" hidden="false" customHeight="false" outlineLevel="0" collapsed="false">
      <c r="A146" s="2" t="s">
        <v>17</v>
      </c>
      <c r="B146" s="2" t="n">
        <v>2016</v>
      </c>
      <c r="C146" s="2" t="n">
        <v>-10.0618</v>
      </c>
      <c r="D146" s="2" t="n">
        <v>-15.5283</v>
      </c>
    </row>
    <row r="147" customFormat="false" ht="15" hidden="false" customHeight="false" outlineLevel="0" collapsed="false">
      <c r="A147" s="2" t="s">
        <v>17</v>
      </c>
      <c r="B147" s="2" t="n">
        <v>2017</v>
      </c>
      <c r="C147" s="2" t="n">
        <v>-10</v>
      </c>
      <c r="D147" s="2" t="n">
        <v>-15.5494</v>
      </c>
    </row>
    <row r="148" customFormat="false" ht="15" hidden="false" customHeight="false" outlineLevel="0" collapsed="false">
      <c r="A148" s="2" t="s">
        <v>17</v>
      </c>
      <c r="B148" s="2" t="n">
        <v>2018</v>
      </c>
      <c r="C148" s="2" t="n">
        <v>-10.2765</v>
      </c>
      <c r="D148" s="2" t="n">
        <v>-16.0304</v>
      </c>
    </row>
    <row r="149" customFormat="false" ht="15" hidden="false" customHeight="false" outlineLevel="0" collapsed="false">
      <c r="A149" s="2" t="s">
        <v>17</v>
      </c>
      <c r="B149" s="2" t="n">
        <v>2019</v>
      </c>
      <c r="C149" s="2" t="n">
        <v>-9.8773</v>
      </c>
      <c r="D149" s="2" t="n">
        <v>-15.6496</v>
      </c>
    </row>
    <row r="150" customFormat="false" ht="15" hidden="false" customHeight="false" outlineLevel="0" collapsed="false">
      <c r="A150" s="2" t="s">
        <v>17</v>
      </c>
      <c r="B150" s="2" t="n">
        <v>2020</v>
      </c>
      <c r="C150" s="2" t="n">
        <v>-10.0981</v>
      </c>
      <c r="D150" s="2" t="n">
        <v>-15.9495</v>
      </c>
    </row>
    <row r="151" customFormat="false" ht="15" hidden="false" customHeight="false" outlineLevel="0" collapsed="false">
      <c r="A151" s="2" t="s">
        <v>17</v>
      </c>
      <c r="B151" s="2" t="n">
        <v>2021</v>
      </c>
      <c r="C151" s="2" t="n">
        <v>-9.9821</v>
      </c>
      <c r="D151" s="2" t="n">
        <v>-15.8368</v>
      </c>
    </row>
    <row r="152" customFormat="false" ht="15" hidden="false" customHeight="false" outlineLevel="0" collapsed="false">
      <c r="A152" s="2" t="s">
        <v>17</v>
      </c>
      <c r="B152" s="2" t="n">
        <v>2022</v>
      </c>
      <c r="C152" s="2" t="n">
        <v>-9.6145</v>
      </c>
      <c r="D152" s="2" t="n">
        <v>-15.3016</v>
      </c>
    </row>
    <row r="153" customFormat="false" ht="15" hidden="false" customHeight="false" outlineLevel="0" collapsed="false">
      <c r="A153" s="2" t="s">
        <v>17</v>
      </c>
      <c r="B153" s="2" t="n">
        <v>2023</v>
      </c>
      <c r="C153" s="2" t="n">
        <v>-9.8981</v>
      </c>
      <c r="D153" s="2" t="n">
        <v>-15.7182</v>
      </c>
    </row>
    <row r="154" customFormat="false" ht="15" hidden="false" customHeight="false" outlineLevel="0" collapsed="false">
      <c r="A154" s="2" t="s">
        <v>17</v>
      </c>
      <c r="B154" s="2" t="n">
        <v>2024</v>
      </c>
      <c r="C154" s="2" t="n">
        <v>-10.1413</v>
      </c>
      <c r="D154" s="2" t="n">
        <v>-15.9004</v>
      </c>
    </row>
    <row r="155" customFormat="false" ht="15" hidden="false" customHeight="false" outlineLevel="0" collapsed="false">
      <c r="A155" s="2" t="s">
        <v>17</v>
      </c>
      <c r="B155" s="2" t="n">
        <v>2025</v>
      </c>
      <c r="C155" s="2" t="n">
        <v>-10.0491</v>
      </c>
      <c r="D155" s="2" t="n">
        <v>-15.7429</v>
      </c>
    </row>
    <row r="156" customFormat="false" ht="15" hidden="false" customHeight="false" outlineLevel="0" collapsed="false">
      <c r="A156" s="2" t="s">
        <v>18</v>
      </c>
      <c r="B156" s="2" t="n">
        <v>2015</v>
      </c>
      <c r="C156" s="2" t="n">
        <v>-9.2923</v>
      </c>
      <c r="D156" s="2" t="n">
        <v>-15.0607</v>
      </c>
    </row>
    <row r="157" customFormat="false" ht="15" hidden="false" customHeight="false" outlineLevel="0" collapsed="false">
      <c r="A157" s="2" t="s">
        <v>18</v>
      </c>
      <c r="B157" s="2" t="n">
        <v>2016</v>
      </c>
      <c r="C157" s="2" t="n">
        <v>-10.5415</v>
      </c>
      <c r="D157" s="2" t="n">
        <v>-15.8952</v>
      </c>
    </row>
    <row r="158" customFormat="false" ht="15" hidden="false" customHeight="false" outlineLevel="0" collapsed="false">
      <c r="A158" s="2" t="s">
        <v>18</v>
      </c>
      <c r="B158" s="2" t="n">
        <v>2017</v>
      </c>
      <c r="C158" s="2" t="n">
        <v>-10.4137</v>
      </c>
      <c r="D158" s="2" t="n">
        <v>-15.8346</v>
      </c>
    </row>
    <row r="159" customFormat="false" ht="15" hidden="false" customHeight="false" outlineLevel="0" collapsed="false">
      <c r="A159" s="2" t="s">
        <v>18</v>
      </c>
      <c r="B159" s="2" t="n">
        <v>2018</v>
      </c>
      <c r="C159" s="2" t="n">
        <v>-10.4231</v>
      </c>
      <c r="D159" s="2" t="n">
        <v>-16.0128</v>
      </c>
    </row>
    <row r="160" customFormat="false" ht="15" hidden="false" customHeight="false" outlineLevel="0" collapsed="false">
      <c r="A160" s="2" t="s">
        <v>18</v>
      </c>
      <c r="B160" s="2" t="n">
        <v>2019</v>
      </c>
      <c r="C160" s="2" t="n">
        <v>-10.4051</v>
      </c>
      <c r="D160" s="2" t="n">
        <v>-16.1222</v>
      </c>
    </row>
    <row r="161" customFormat="false" ht="15" hidden="false" customHeight="false" outlineLevel="0" collapsed="false">
      <c r="A161" s="2" t="s">
        <v>18</v>
      </c>
      <c r="B161" s="2" t="n">
        <v>2020</v>
      </c>
      <c r="C161" s="2" t="n">
        <v>-10.2703</v>
      </c>
      <c r="D161" s="2" t="n">
        <v>-15.9771</v>
      </c>
    </row>
    <row r="162" customFormat="false" ht="15" hidden="false" customHeight="false" outlineLevel="0" collapsed="false">
      <c r="A162" s="2" t="s">
        <v>18</v>
      </c>
      <c r="B162" s="2" t="n">
        <v>2021</v>
      </c>
      <c r="C162" s="2" t="n">
        <v>-10.1987</v>
      </c>
      <c r="D162" s="2" t="n">
        <v>-15.8982</v>
      </c>
    </row>
    <row r="163" customFormat="false" ht="15" hidden="false" customHeight="false" outlineLevel="0" collapsed="false">
      <c r="A163" s="2" t="s">
        <v>18</v>
      </c>
      <c r="B163" s="2" t="n">
        <v>2022</v>
      </c>
      <c r="C163" s="2" t="n">
        <v>-10.2128</v>
      </c>
      <c r="D163" s="2" t="n">
        <v>-15.8107</v>
      </c>
    </row>
    <row r="164" customFormat="false" ht="15" hidden="false" customHeight="false" outlineLevel="0" collapsed="false">
      <c r="A164" s="2" t="s">
        <v>18</v>
      </c>
      <c r="B164" s="2" t="n">
        <v>2023</v>
      </c>
      <c r="C164" s="2" t="n">
        <v>-10.1523</v>
      </c>
      <c r="D164" s="2" t="n">
        <v>-15.7837</v>
      </c>
    </row>
    <row r="165" customFormat="false" ht="15" hidden="false" customHeight="false" outlineLevel="0" collapsed="false">
      <c r="A165" s="2" t="s">
        <v>18</v>
      </c>
      <c r="B165" s="2" t="n">
        <v>2024</v>
      </c>
      <c r="C165" s="2" t="n">
        <v>-10.3309</v>
      </c>
      <c r="D165" s="2" t="n">
        <v>-15.9342</v>
      </c>
    </row>
    <row r="166" customFormat="false" ht="15" hidden="false" customHeight="false" outlineLevel="0" collapsed="false">
      <c r="A166" s="2" t="s">
        <v>18</v>
      </c>
      <c r="B166" s="2" t="n">
        <v>2025</v>
      </c>
      <c r="C166" s="2" t="n">
        <v>-10.3797</v>
      </c>
      <c r="D166" s="2" t="n">
        <v>-15.8946</v>
      </c>
    </row>
    <row r="167" customFormat="false" ht="15" hidden="false" customHeight="false" outlineLevel="0" collapsed="false">
      <c r="A167" s="2" t="s">
        <v>19</v>
      </c>
      <c r="B167" s="2" t="n">
        <v>2015</v>
      </c>
      <c r="C167" s="2" t="n">
        <v>-9.3245</v>
      </c>
      <c r="D167" s="2" t="n">
        <v>-15.1057</v>
      </c>
    </row>
    <row r="168" customFormat="false" ht="15" hidden="false" customHeight="false" outlineLevel="0" collapsed="false">
      <c r="A168" s="2" t="s">
        <v>19</v>
      </c>
      <c r="B168" s="2" t="n">
        <v>2016</v>
      </c>
      <c r="C168" s="2" t="n">
        <v>-10.5879</v>
      </c>
      <c r="D168" s="2" t="n">
        <v>-15.9157</v>
      </c>
    </row>
    <row r="169" customFormat="false" ht="15" hidden="false" customHeight="false" outlineLevel="0" collapsed="false">
      <c r="A169" s="2" t="s">
        <v>19</v>
      </c>
      <c r="B169" s="2" t="n">
        <v>2017</v>
      </c>
      <c r="C169" s="2" t="n">
        <v>-10.3226</v>
      </c>
      <c r="D169" s="2" t="n">
        <v>-15.6821</v>
      </c>
    </row>
    <row r="170" customFormat="false" ht="15" hidden="false" customHeight="false" outlineLevel="0" collapsed="false">
      <c r="A170" s="2" t="s">
        <v>19</v>
      </c>
      <c r="B170" s="2" t="n">
        <v>2018</v>
      </c>
      <c r="C170" s="2" t="n">
        <v>-10.3682</v>
      </c>
      <c r="D170" s="2" t="n">
        <v>-15.9521</v>
      </c>
    </row>
    <row r="171" customFormat="false" ht="15" hidden="false" customHeight="false" outlineLevel="0" collapsed="false">
      <c r="A171" s="2" t="s">
        <v>19</v>
      </c>
      <c r="B171" s="2" t="n">
        <v>2019</v>
      </c>
      <c r="C171" s="2" t="n">
        <v>-10.257</v>
      </c>
      <c r="D171" s="2" t="n">
        <v>-15.949</v>
      </c>
    </row>
    <row r="172" customFormat="false" ht="15" hidden="false" customHeight="false" outlineLevel="0" collapsed="false">
      <c r="A172" s="2" t="s">
        <v>19</v>
      </c>
      <c r="B172" s="2" t="n">
        <v>2020</v>
      </c>
      <c r="C172" s="2" t="n">
        <v>-10.193</v>
      </c>
      <c r="D172" s="2" t="n">
        <v>-15.8425</v>
      </c>
    </row>
    <row r="173" customFormat="false" ht="15" hidden="false" customHeight="false" outlineLevel="0" collapsed="false">
      <c r="A173" s="2" t="s">
        <v>19</v>
      </c>
      <c r="B173" s="2" t="n">
        <v>2021</v>
      </c>
      <c r="C173" s="2" t="n">
        <v>-10.1324</v>
      </c>
      <c r="D173" s="2" t="n">
        <v>-15.797</v>
      </c>
    </row>
    <row r="174" customFormat="false" ht="15" hidden="false" customHeight="false" outlineLevel="0" collapsed="false">
      <c r="A174" s="2" t="s">
        <v>19</v>
      </c>
      <c r="B174" s="2" t="n">
        <v>2022</v>
      </c>
      <c r="C174" s="2" t="n">
        <v>-10.0778</v>
      </c>
      <c r="D174" s="2" t="n">
        <v>-15.6935</v>
      </c>
    </row>
    <row r="175" customFormat="false" ht="15" hidden="false" customHeight="false" outlineLevel="0" collapsed="false">
      <c r="A175" s="2" t="s">
        <v>19</v>
      </c>
      <c r="B175" s="2" t="n">
        <v>2023</v>
      </c>
      <c r="C175" s="2" t="n">
        <v>-10.1325</v>
      </c>
      <c r="D175" s="2" t="n">
        <v>-16.2859</v>
      </c>
    </row>
    <row r="176" customFormat="false" ht="15" hidden="false" customHeight="false" outlineLevel="0" collapsed="false">
      <c r="A176" s="2" t="s">
        <v>19</v>
      </c>
      <c r="B176" s="2" t="n">
        <v>2024</v>
      </c>
      <c r="C176" s="2" t="n">
        <v>-10.5318</v>
      </c>
      <c r="D176" s="2" t="n">
        <v>-16.5275</v>
      </c>
    </row>
    <row r="177" customFormat="false" ht="15" hidden="false" customHeight="false" outlineLevel="0" collapsed="false">
      <c r="A177" s="2" t="s">
        <v>19</v>
      </c>
      <c r="B177" s="2" t="n">
        <v>2025</v>
      </c>
      <c r="C177" s="2" t="n">
        <v>-10.5155</v>
      </c>
      <c r="D177" s="2" t="n">
        <v>-16.411</v>
      </c>
    </row>
    <row r="178" customFormat="false" ht="15" hidden="false" customHeight="false" outlineLevel="0" collapsed="false">
      <c r="A178" s="2" t="s">
        <v>20</v>
      </c>
      <c r="B178" s="2" t="n">
        <v>2015</v>
      </c>
      <c r="C178" s="2" t="n">
        <v>-9.165</v>
      </c>
      <c r="D178" s="2" t="n">
        <v>-14.7353</v>
      </c>
    </row>
    <row r="179" customFormat="false" ht="15" hidden="false" customHeight="false" outlineLevel="0" collapsed="false">
      <c r="A179" s="2" t="s">
        <v>20</v>
      </c>
      <c r="B179" s="2" t="n">
        <v>2016</v>
      </c>
      <c r="C179" s="2" t="n">
        <v>-10.1955</v>
      </c>
      <c r="D179" s="2" t="n">
        <v>-15.4264</v>
      </c>
    </row>
    <row r="180" customFormat="false" ht="15" hidden="false" customHeight="false" outlineLevel="0" collapsed="false">
      <c r="A180" s="2" t="s">
        <v>20</v>
      </c>
      <c r="B180" s="2" t="n">
        <v>2017</v>
      </c>
      <c r="C180" s="2" t="n">
        <v>-9.9739</v>
      </c>
      <c r="D180" s="2" t="n">
        <v>-15.3084</v>
      </c>
    </row>
    <row r="181" customFormat="false" ht="15" hidden="false" customHeight="false" outlineLevel="0" collapsed="false">
      <c r="A181" s="2" t="s">
        <v>20</v>
      </c>
      <c r="B181" s="2" t="n">
        <v>2018</v>
      </c>
      <c r="C181" s="2" t="n">
        <v>-9.767</v>
      </c>
      <c r="D181" s="2" t="n">
        <v>-15.1874</v>
      </c>
    </row>
    <row r="182" customFormat="false" ht="15" hidden="false" customHeight="false" outlineLevel="0" collapsed="false">
      <c r="A182" s="2" t="s">
        <v>20</v>
      </c>
      <c r="B182" s="2" t="n">
        <v>2019</v>
      </c>
      <c r="C182" s="2" t="n">
        <v>-9.9039</v>
      </c>
      <c r="D182" s="2" t="n">
        <v>-15.4949</v>
      </c>
    </row>
    <row r="183" customFormat="false" ht="15" hidden="false" customHeight="false" outlineLevel="0" collapsed="false">
      <c r="A183" s="2" t="s">
        <v>20</v>
      </c>
      <c r="B183" s="2" t="n">
        <v>2020</v>
      </c>
      <c r="C183" s="2" t="n">
        <v>-9.8082</v>
      </c>
      <c r="D183" s="2" t="n">
        <v>-15.3683</v>
      </c>
    </row>
    <row r="184" customFormat="false" ht="15" hidden="false" customHeight="false" outlineLevel="0" collapsed="false">
      <c r="A184" s="2" t="s">
        <v>20</v>
      </c>
      <c r="B184" s="2" t="n">
        <v>2021</v>
      </c>
      <c r="C184" s="2" t="n">
        <v>-9.7932</v>
      </c>
      <c r="D184" s="2" t="n">
        <v>-15.3901</v>
      </c>
    </row>
    <row r="185" customFormat="false" ht="15" hidden="false" customHeight="false" outlineLevel="0" collapsed="false">
      <c r="A185" s="2" t="s">
        <v>20</v>
      </c>
      <c r="B185" s="2" t="n">
        <v>2022</v>
      </c>
      <c r="C185" s="2" t="n">
        <v>-9.673</v>
      </c>
      <c r="D185" s="2" t="n">
        <v>-15.13</v>
      </c>
    </row>
    <row r="186" customFormat="false" ht="15" hidden="false" customHeight="false" outlineLevel="0" collapsed="false">
      <c r="A186" s="2" t="s">
        <v>20</v>
      </c>
      <c r="B186" s="2" t="n">
        <v>2023</v>
      </c>
      <c r="C186" s="2" t="n">
        <v>-9.5721</v>
      </c>
      <c r="D186" s="2" t="n">
        <v>-15.0421</v>
      </c>
    </row>
    <row r="187" customFormat="false" ht="15" hidden="false" customHeight="false" outlineLevel="0" collapsed="false">
      <c r="A187" s="2" t="s">
        <v>20</v>
      </c>
      <c r="B187" s="2" t="n">
        <v>2024</v>
      </c>
      <c r="C187" s="2" t="n">
        <v>-9.8626</v>
      </c>
      <c r="D187" s="2" t="n">
        <v>-15.3304</v>
      </c>
    </row>
    <row r="188" customFormat="false" ht="15" hidden="false" customHeight="false" outlineLevel="0" collapsed="false">
      <c r="A188" s="2" t="s">
        <v>20</v>
      </c>
      <c r="B188" s="2" t="n">
        <v>2025</v>
      </c>
      <c r="C188" s="2" t="n">
        <v>-9.7882</v>
      </c>
      <c r="D188" s="2" t="n">
        <v>-15.2559</v>
      </c>
    </row>
    <row r="189" customFormat="false" ht="15" hidden="false" customHeight="false" outlineLevel="0" collapsed="false">
      <c r="A189" s="2" t="s">
        <v>21</v>
      </c>
      <c r="B189" s="2" t="n">
        <v>2015</v>
      </c>
      <c r="C189" s="2" t="n">
        <v>-9.0976</v>
      </c>
      <c r="D189" s="2" t="n">
        <v>-14.8004</v>
      </c>
    </row>
    <row r="190" customFormat="false" ht="15" hidden="false" customHeight="false" outlineLevel="0" collapsed="false">
      <c r="A190" s="2" t="s">
        <v>21</v>
      </c>
      <c r="B190" s="2" t="n">
        <v>2016</v>
      </c>
      <c r="C190" s="2" t="n">
        <v>-10.2117</v>
      </c>
      <c r="D190" s="2" t="n">
        <v>-15.488</v>
      </c>
    </row>
    <row r="191" customFormat="false" ht="15" hidden="false" customHeight="false" outlineLevel="0" collapsed="false">
      <c r="A191" s="2" t="s">
        <v>21</v>
      </c>
      <c r="B191" s="2" t="n">
        <v>2017</v>
      </c>
      <c r="C191" s="2" t="n">
        <v>-10.0994</v>
      </c>
      <c r="D191" s="2" t="n">
        <v>-15.435</v>
      </c>
    </row>
    <row r="192" customFormat="false" ht="15" hidden="false" customHeight="false" outlineLevel="0" collapsed="false">
      <c r="A192" s="2" t="s">
        <v>21</v>
      </c>
      <c r="B192" s="2" t="n">
        <v>2018</v>
      </c>
      <c r="C192" s="2" t="n">
        <v>-10.0442</v>
      </c>
      <c r="D192" s="2" t="n">
        <v>-15.5418</v>
      </c>
    </row>
    <row r="193" customFormat="false" ht="15" hidden="false" customHeight="false" outlineLevel="0" collapsed="false">
      <c r="A193" s="2" t="s">
        <v>21</v>
      </c>
      <c r="B193" s="2" t="n">
        <v>2019</v>
      </c>
      <c r="C193" s="2" t="n">
        <v>-10.147</v>
      </c>
      <c r="D193" s="2" t="n">
        <v>-15.7407</v>
      </c>
    </row>
    <row r="194" customFormat="false" ht="15" hidden="false" customHeight="false" outlineLevel="0" collapsed="false">
      <c r="A194" s="2" t="s">
        <v>21</v>
      </c>
      <c r="B194" s="2" t="n">
        <v>2020</v>
      </c>
      <c r="C194" s="2" t="n">
        <v>-9.887</v>
      </c>
      <c r="D194" s="2" t="n">
        <v>-15.4895</v>
      </c>
    </row>
    <row r="195" customFormat="false" ht="15" hidden="false" customHeight="false" outlineLevel="0" collapsed="false">
      <c r="A195" s="2" t="s">
        <v>21</v>
      </c>
      <c r="B195" s="2" t="n">
        <v>2021</v>
      </c>
      <c r="C195" s="2" t="n">
        <v>-9.8828</v>
      </c>
      <c r="D195" s="2" t="n">
        <v>-15.5284</v>
      </c>
    </row>
    <row r="196" customFormat="false" ht="15" hidden="false" customHeight="false" outlineLevel="0" collapsed="false">
      <c r="A196" s="2" t="s">
        <v>21</v>
      </c>
      <c r="B196" s="2" t="n">
        <v>2022</v>
      </c>
      <c r="C196" s="2" t="n">
        <v>-10.0536</v>
      </c>
      <c r="D196" s="2" t="n">
        <v>-15.6489</v>
      </c>
    </row>
    <row r="197" customFormat="false" ht="15" hidden="false" customHeight="false" outlineLevel="0" collapsed="false">
      <c r="A197" s="2" t="s">
        <v>21</v>
      </c>
      <c r="B197" s="2" t="n">
        <v>2023</v>
      </c>
      <c r="C197" s="2" t="n">
        <v>-9.9203</v>
      </c>
      <c r="D197" s="2" t="n">
        <v>-15.4933</v>
      </c>
    </row>
    <row r="198" customFormat="false" ht="15" hidden="false" customHeight="false" outlineLevel="0" collapsed="false">
      <c r="A198" s="2" t="s">
        <v>21</v>
      </c>
      <c r="B198" s="2" t="n">
        <v>2024</v>
      </c>
      <c r="C198" s="2" t="n">
        <v>-10.0906</v>
      </c>
      <c r="D198" s="2" t="n">
        <v>-15.6463</v>
      </c>
    </row>
    <row r="199" customFormat="false" ht="15" hidden="false" customHeight="false" outlineLevel="0" collapsed="false">
      <c r="A199" s="2" t="s">
        <v>21</v>
      </c>
      <c r="B199" s="2" t="n">
        <v>2025</v>
      </c>
      <c r="C199" s="2" t="n">
        <v>-10.125</v>
      </c>
      <c r="D199" s="2" t="n">
        <v>-15.6101</v>
      </c>
    </row>
    <row r="200" customFormat="false" ht="15" hidden="false" customHeight="false" outlineLevel="0" collapsed="false">
      <c r="A200" s="2" t="s">
        <v>22</v>
      </c>
      <c r="B200" s="2" t="n">
        <v>2015</v>
      </c>
      <c r="C200" s="2" t="n">
        <v>-9.4199</v>
      </c>
      <c r="D200" s="2" t="n">
        <v>-15.0967</v>
      </c>
    </row>
    <row r="201" customFormat="false" ht="15" hidden="false" customHeight="false" outlineLevel="0" collapsed="false">
      <c r="A201" s="2" t="s">
        <v>22</v>
      </c>
      <c r="B201" s="2" t="n">
        <v>2016</v>
      </c>
      <c r="C201" s="2" t="n">
        <v>-10.6942</v>
      </c>
      <c r="D201" s="2" t="n">
        <v>-15.9507</v>
      </c>
    </row>
    <row r="202" customFormat="false" ht="15" hidden="false" customHeight="false" outlineLevel="0" collapsed="false">
      <c r="A202" s="2" t="s">
        <v>22</v>
      </c>
      <c r="B202" s="2" t="n">
        <v>2017</v>
      </c>
      <c r="C202" s="2" t="n">
        <v>-10.5364</v>
      </c>
      <c r="D202" s="2" t="n">
        <v>-15.8825</v>
      </c>
    </row>
    <row r="203" customFormat="false" ht="15" hidden="false" customHeight="false" outlineLevel="0" collapsed="false">
      <c r="A203" s="2" t="s">
        <v>22</v>
      </c>
      <c r="B203" s="2" t="n">
        <v>2018</v>
      </c>
      <c r="C203" s="2" t="n">
        <v>-10.7385</v>
      </c>
      <c r="D203" s="2" t="n">
        <v>-16.3984</v>
      </c>
    </row>
    <row r="204" customFormat="false" ht="15" hidden="false" customHeight="false" outlineLevel="0" collapsed="false">
      <c r="A204" s="2" t="s">
        <v>22</v>
      </c>
      <c r="B204" s="2" t="n">
        <v>2019</v>
      </c>
      <c r="C204" s="2" t="n">
        <v>-10.6902</v>
      </c>
      <c r="D204" s="2" t="n">
        <v>-16.4276</v>
      </c>
    </row>
    <row r="205" customFormat="false" ht="15" hidden="false" customHeight="false" outlineLevel="0" collapsed="false">
      <c r="A205" s="2" t="s">
        <v>22</v>
      </c>
      <c r="B205" s="2" t="n">
        <v>2020</v>
      </c>
      <c r="C205" s="2" t="n">
        <v>-10.6033</v>
      </c>
      <c r="D205" s="2" t="n">
        <v>-16.2899</v>
      </c>
    </row>
    <row r="206" customFormat="false" ht="15" hidden="false" customHeight="false" outlineLevel="0" collapsed="false">
      <c r="A206" s="2" t="s">
        <v>22</v>
      </c>
      <c r="B206" s="2" t="n">
        <v>2021</v>
      </c>
      <c r="C206" s="2" t="n">
        <v>-10.5339</v>
      </c>
      <c r="D206" s="2" t="n">
        <v>-16.2316</v>
      </c>
    </row>
    <row r="207" customFormat="false" ht="15" hidden="false" customHeight="false" outlineLevel="0" collapsed="false">
      <c r="A207" s="2" t="s">
        <v>22</v>
      </c>
      <c r="B207" s="2" t="n">
        <v>2022</v>
      </c>
      <c r="C207" s="2" t="n">
        <v>-10.476</v>
      </c>
      <c r="D207" s="2" t="n">
        <v>-16.1352</v>
      </c>
    </row>
    <row r="208" customFormat="false" ht="15" hidden="false" customHeight="false" outlineLevel="0" collapsed="false">
      <c r="A208" s="2" t="s">
        <v>22</v>
      </c>
      <c r="B208" s="2" t="n">
        <v>2023</v>
      </c>
      <c r="C208" s="2" t="n">
        <v>-10.4393</v>
      </c>
      <c r="D208" s="2" t="n">
        <v>-16.1324</v>
      </c>
    </row>
    <row r="209" customFormat="false" ht="15" hidden="false" customHeight="false" outlineLevel="0" collapsed="false">
      <c r="A209" s="2" t="s">
        <v>22</v>
      </c>
      <c r="B209" s="2" t="n">
        <v>2024</v>
      </c>
      <c r="C209" s="2" t="n">
        <v>-10.6758</v>
      </c>
      <c r="D209" s="2" t="n">
        <v>-16.3221</v>
      </c>
    </row>
    <row r="210" customFormat="false" ht="15" hidden="false" customHeight="false" outlineLevel="0" collapsed="false">
      <c r="A210" s="2" t="s">
        <v>22</v>
      </c>
      <c r="B210" s="2" t="n">
        <v>2025</v>
      </c>
      <c r="C210" s="2" t="n">
        <v>-10.6493</v>
      </c>
      <c r="D210" s="2" t="n">
        <v>-16.2859</v>
      </c>
    </row>
    <row r="211" customFormat="false" ht="15" hidden="false" customHeight="false" outlineLevel="0" collapsed="false">
      <c r="A211" s="2" t="s">
        <v>23</v>
      </c>
      <c r="B211" s="2" t="n">
        <v>2015</v>
      </c>
      <c r="C211" s="2" t="n">
        <v>-8.8182</v>
      </c>
      <c r="D211" s="2" t="n">
        <v>-14.3599</v>
      </c>
    </row>
    <row r="212" customFormat="false" ht="15" hidden="false" customHeight="false" outlineLevel="0" collapsed="false">
      <c r="A212" s="2" t="s">
        <v>23</v>
      </c>
      <c r="B212" s="2" t="n">
        <v>2016</v>
      </c>
      <c r="C212" s="2" t="n">
        <v>-10.0985</v>
      </c>
      <c r="D212" s="2" t="n">
        <v>-15.2718</v>
      </c>
    </row>
    <row r="213" customFormat="false" ht="15" hidden="false" customHeight="false" outlineLevel="0" collapsed="false">
      <c r="A213" s="2" t="s">
        <v>23</v>
      </c>
      <c r="B213" s="2" t="n">
        <v>2017</v>
      </c>
      <c r="C213" s="2" t="n">
        <v>-9.9101</v>
      </c>
      <c r="D213" s="2" t="n">
        <v>-15.1246</v>
      </c>
    </row>
    <row r="214" customFormat="false" ht="15" hidden="false" customHeight="false" outlineLevel="0" collapsed="false">
      <c r="A214" s="2" t="s">
        <v>23</v>
      </c>
      <c r="B214" s="2" t="n">
        <v>2018</v>
      </c>
      <c r="C214" s="2" t="n">
        <v>-9.716</v>
      </c>
      <c r="D214" s="2" t="n">
        <v>-15.0531</v>
      </c>
    </row>
    <row r="215" customFormat="false" ht="15" hidden="false" customHeight="false" outlineLevel="0" collapsed="false">
      <c r="A215" s="2" t="s">
        <v>23</v>
      </c>
      <c r="B215" s="2" t="n">
        <v>2019</v>
      </c>
      <c r="C215" s="2" t="n">
        <v>-9.8182</v>
      </c>
      <c r="D215" s="2" t="n">
        <v>-15.3565</v>
      </c>
    </row>
    <row r="216" customFormat="false" ht="15" hidden="false" customHeight="false" outlineLevel="0" collapsed="false">
      <c r="A216" s="2" t="s">
        <v>23</v>
      </c>
      <c r="B216" s="2" t="n">
        <v>2020</v>
      </c>
      <c r="C216" s="2" t="n">
        <v>-9.7425</v>
      </c>
      <c r="D216" s="2" t="n">
        <v>-15.2033</v>
      </c>
    </row>
    <row r="217" customFormat="false" ht="15" hidden="false" customHeight="false" outlineLevel="0" collapsed="false">
      <c r="A217" s="2" t="s">
        <v>23</v>
      </c>
      <c r="B217" s="2" t="n">
        <v>2021</v>
      </c>
      <c r="C217" s="2" t="n">
        <v>-9.6811</v>
      </c>
      <c r="D217" s="2" t="n">
        <v>-15.2092</v>
      </c>
    </row>
    <row r="218" customFormat="false" ht="15" hidden="false" customHeight="false" outlineLevel="0" collapsed="false">
      <c r="A218" s="2" t="s">
        <v>23</v>
      </c>
      <c r="B218" s="2" t="n">
        <v>2022</v>
      </c>
      <c r="C218" s="2" t="n">
        <v>-9.6294</v>
      </c>
      <c r="D218" s="2" t="n">
        <v>-15.0489</v>
      </c>
    </row>
    <row r="219" customFormat="false" ht="15" hidden="false" customHeight="false" outlineLevel="0" collapsed="false">
      <c r="A219" s="2" t="s">
        <v>23</v>
      </c>
      <c r="B219" s="2" t="n">
        <v>2023</v>
      </c>
      <c r="C219" s="2" t="n">
        <v>-9.4082</v>
      </c>
      <c r="D219" s="2" t="n">
        <v>-14.7784</v>
      </c>
    </row>
    <row r="220" customFormat="false" ht="15" hidden="false" customHeight="false" outlineLevel="0" collapsed="false">
      <c r="A220" s="2" t="s">
        <v>23</v>
      </c>
      <c r="B220" s="2" t="n">
        <v>2024</v>
      </c>
      <c r="C220" s="2" t="n">
        <v>-9.7676</v>
      </c>
      <c r="D220" s="2" t="n">
        <v>-15.1397</v>
      </c>
    </row>
    <row r="221" customFormat="false" ht="15" hidden="false" customHeight="false" outlineLevel="0" collapsed="false">
      <c r="A221" s="2" t="s">
        <v>23</v>
      </c>
      <c r="B221" s="2" t="n">
        <v>2025</v>
      </c>
      <c r="C221" s="2" t="n">
        <v>-9.6571</v>
      </c>
      <c r="D221" s="2" t="n">
        <v>-15.0693</v>
      </c>
    </row>
    <row r="222" customFormat="false" ht="15" hidden="false" customHeight="false" outlineLevel="0" collapsed="false">
      <c r="A222" s="2" t="s">
        <v>24</v>
      </c>
      <c r="B222" s="2" t="n">
        <v>2015</v>
      </c>
      <c r="C222" s="2" t="n">
        <v>-8.9554</v>
      </c>
      <c r="D222" s="2" t="n">
        <v>-14.6813</v>
      </c>
    </row>
    <row r="223" customFormat="false" ht="15" hidden="false" customHeight="false" outlineLevel="0" collapsed="false">
      <c r="A223" s="2" t="s">
        <v>24</v>
      </c>
      <c r="B223" s="2" t="n">
        <v>2016</v>
      </c>
      <c r="C223" s="2" t="n">
        <v>-10.1385</v>
      </c>
      <c r="D223" s="2" t="n">
        <v>-15.3805</v>
      </c>
    </row>
    <row r="224" customFormat="false" ht="15" hidden="false" customHeight="false" outlineLevel="0" collapsed="false">
      <c r="A224" s="2" t="s">
        <v>24</v>
      </c>
      <c r="B224" s="2" t="n">
        <v>2017</v>
      </c>
      <c r="C224" s="2" t="n">
        <v>-9.9155</v>
      </c>
      <c r="D224" s="2" t="n">
        <v>-15.2377</v>
      </c>
    </row>
    <row r="225" customFormat="false" ht="15" hidden="false" customHeight="false" outlineLevel="0" collapsed="false">
      <c r="A225" s="2" t="s">
        <v>24</v>
      </c>
      <c r="B225" s="2" t="n">
        <v>2018</v>
      </c>
      <c r="C225" s="2" t="n">
        <v>-9.9021</v>
      </c>
      <c r="D225" s="2" t="n">
        <v>-15.3894</v>
      </c>
    </row>
    <row r="226" customFormat="false" ht="15" hidden="false" customHeight="false" outlineLevel="0" collapsed="false">
      <c r="A226" s="2" t="s">
        <v>24</v>
      </c>
      <c r="B226" s="2" t="n">
        <v>2019</v>
      </c>
      <c r="C226" s="2" t="n">
        <v>-10.0134</v>
      </c>
      <c r="D226" s="2" t="n">
        <v>-15.6257</v>
      </c>
    </row>
    <row r="227" customFormat="false" ht="15" hidden="false" customHeight="false" outlineLevel="0" collapsed="false">
      <c r="A227" s="2" t="s">
        <v>24</v>
      </c>
      <c r="B227" s="2" t="n">
        <v>2020</v>
      </c>
      <c r="C227" s="2" t="n">
        <v>-9.8604</v>
      </c>
      <c r="D227" s="2" t="n">
        <v>-15.4968</v>
      </c>
    </row>
    <row r="228" customFormat="false" ht="15" hidden="false" customHeight="false" outlineLevel="0" collapsed="false">
      <c r="A228" s="2" t="s">
        <v>24</v>
      </c>
      <c r="B228" s="2" t="n">
        <v>2021</v>
      </c>
      <c r="C228" s="2" t="n">
        <v>-9.7649</v>
      </c>
      <c r="D228" s="2" t="n">
        <v>-15.4164</v>
      </c>
    </row>
    <row r="229" customFormat="false" ht="15" hidden="false" customHeight="false" outlineLevel="0" collapsed="false">
      <c r="A229" s="2" t="s">
        <v>24</v>
      </c>
      <c r="B229" s="2" t="n">
        <v>2022</v>
      </c>
      <c r="C229" s="2" t="n">
        <v>-9.8223</v>
      </c>
      <c r="D229" s="2" t="n">
        <v>-15.4312</v>
      </c>
    </row>
    <row r="230" customFormat="false" ht="15" hidden="false" customHeight="false" outlineLevel="0" collapsed="false">
      <c r="A230" s="2" t="s">
        <v>24</v>
      </c>
      <c r="B230" s="2" t="n">
        <v>2023</v>
      </c>
      <c r="C230" s="2" t="n">
        <v>-9.8343</v>
      </c>
      <c r="D230" s="2" t="n">
        <v>-15.4268</v>
      </c>
    </row>
    <row r="231" customFormat="false" ht="15" hidden="false" customHeight="false" outlineLevel="0" collapsed="false">
      <c r="A231" s="2" t="s">
        <v>24</v>
      </c>
      <c r="B231" s="2" t="n">
        <v>2024</v>
      </c>
      <c r="C231" s="2" t="n">
        <v>-9.8165</v>
      </c>
      <c r="D231" s="2" t="n">
        <v>-15.4071</v>
      </c>
    </row>
    <row r="232" customFormat="false" ht="15" hidden="false" customHeight="false" outlineLevel="0" collapsed="false">
      <c r="A232" s="2" t="s">
        <v>24</v>
      </c>
      <c r="B232" s="2" t="n">
        <v>2025</v>
      </c>
      <c r="C232" s="2" t="n">
        <v>-9.9288</v>
      </c>
      <c r="D232" s="2" t="n">
        <v>-15.4038</v>
      </c>
    </row>
    <row r="233" customFormat="false" ht="15" hidden="false" customHeight="false" outlineLevel="0" collapsed="false">
      <c r="A233" s="2" t="s">
        <v>25</v>
      </c>
      <c r="B233" s="2" t="n">
        <v>2015</v>
      </c>
      <c r="C233" s="2" t="n">
        <v>-7.8565</v>
      </c>
      <c r="D233" s="2" t="n">
        <v>-13.5796</v>
      </c>
    </row>
    <row r="234" customFormat="false" ht="15" hidden="false" customHeight="false" outlineLevel="0" collapsed="false">
      <c r="A234" s="2" t="s">
        <v>25</v>
      </c>
      <c r="B234" s="2" t="n">
        <v>2016</v>
      </c>
      <c r="C234" s="2" t="n">
        <v>-9.6981</v>
      </c>
      <c r="D234" s="2" t="n">
        <v>-14.9544</v>
      </c>
    </row>
    <row r="235" customFormat="false" ht="15" hidden="false" customHeight="false" outlineLevel="0" collapsed="false">
      <c r="A235" s="2" t="s">
        <v>25</v>
      </c>
      <c r="B235" s="2" t="n">
        <v>2017</v>
      </c>
      <c r="C235" s="2" t="n">
        <v>-9.1993</v>
      </c>
      <c r="D235" s="2" t="n">
        <v>-14.5141</v>
      </c>
    </row>
    <row r="236" customFormat="false" ht="15" hidden="false" customHeight="false" outlineLevel="0" collapsed="false">
      <c r="A236" s="2" t="s">
        <v>25</v>
      </c>
      <c r="B236" s="2" t="n">
        <v>2018</v>
      </c>
      <c r="C236" s="2" t="n">
        <v>-9.3098</v>
      </c>
      <c r="D236" s="2" t="n">
        <v>-14.8268</v>
      </c>
    </row>
    <row r="237" customFormat="false" ht="15" hidden="false" customHeight="false" outlineLevel="0" collapsed="false">
      <c r="A237" s="2" t="s">
        <v>25</v>
      </c>
      <c r="B237" s="2" t="n">
        <v>2019</v>
      </c>
      <c r="C237" s="2" t="n">
        <v>-9.017</v>
      </c>
      <c r="D237" s="2" t="n">
        <v>-14.5957</v>
      </c>
    </row>
    <row r="238" customFormat="false" ht="15" hidden="false" customHeight="false" outlineLevel="0" collapsed="false">
      <c r="A238" s="2" t="s">
        <v>25</v>
      </c>
      <c r="B238" s="2" t="n">
        <v>2020</v>
      </c>
      <c r="C238" s="2" t="n">
        <v>-9.1824</v>
      </c>
      <c r="D238" s="2" t="n">
        <v>-14.7595</v>
      </c>
    </row>
    <row r="239" customFormat="false" ht="15" hidden="false" customHeight="false" outlineLevel="0" collapsed="false">
      <c r="A239" s="2" t="s">
        <v>25</v>
      </c>
      <c r="B239" s="2" t="n">
        <v>2021</v>
      </c>
      <c r="C239" s="2" t="n">
        <v>-9.4138</v>
      </c>
      <c r="D239" s="2" t="n">
        <v>-14.9662</v>
      </c>
    </row>
    <row r="240" customFormat="false" ht="15" hidden="false" customHeight="false" outlineLevel="0" collapsed="false">
      <c r="A240" s="2" t="s">
        <v>25</v>
      </c>
      <c r="B240" s="2" t="n">
        <v>2022</v>
      </c>
      <c r="C240" s="2" t="n">
        <v>-8.8906</v>
      </c>
      <c r="D240" s="2" t="n">
        <v>-14.3845</v>
      </c>
    </row>
    <row r="241" customFormat="false" ht="15" hidden="false" customHeight="false" outlineLevel="0" collapsed="false">
      <c r="A241" s="2" t="s">
        <v>25</v>
      </c>
      <c r="B241" s="2" t="n">
        <v>2023</v>
      </c>
      <c r="C241" s="2" t="n">
        <v>-9.3227</v>
      </c>
      <c r="D241" s="2" t="n">
        <v>-14.8046</v>
      </c>
    </row>
    <row r="242" customFormat="false" ht="15" hidden="false" customHeight="false" outlineLevel="0" collapsed="false">
      <c r="A242" s="2" t="s">
        <v>25</v>
      </c>
      <c r="B242" s="2" t="n">
        <v>2024</v>
      </c>
      <c r="C242" s="2" t="n">
        <v>-9.1972</v>
      </c>
      <c r="D242" s="2" t="n">
        <v>-14.6739</v>
      </c>
    </row>
    <row r="243" customFormat="false" ht="15" hidden="false" customHeight="false" outlineLevel="0" collapsed="false">
      <c r="A243" s="2" t="s">
        <v>25</v>
      </c>
      <c r="B243" s="2" t="n">
        <v>2025</v>
      </c>
      <c r="C243" s="2" t="n">
        <v>-9.1236</v>
      </c>
      <c r="D243" s="2" t="n">
        <v>-14.6178</v>
      </c>
    </row>
    <row r="244" customFormat="false" ht="15" hidden="false" customHeight="false" outlineLevel="0" collapsed="false">
      <c r="A244" s="2" t="s">
        <v>26</v>
      </c>
      <c r="B244" s="2" t="n">
        <v>2015</v>
      </c>
      <c r="C244" s="2" t="n">
        <v>-8.6444</v>
      </c>
      <c r="D244" s="2" t="n">
        <v>-14.4051</v>
      </c>
    </row>
    <row r="245" customFormat="false" ht="15" hidden="false" customHeight="false" outlineLevel="0" collapsed="false">
      <c r="A245" s="2" t="s">
        <v>26</v>
      </c>
      <c r="B245" s="2" t="n">
        <v>2016</v>
      </c>
      <c r="C245" s="2" t="n">
        <v>-10.0094</v>
      </c>
      <c r="D245" s="2" t="n">
        <v>-15.3873</v>
      </c>
    </row>
    <row r="246" customFormat="false" ht="15" hidden="false" customHeight="false" outlineLevel="0" collapsed="false">
      <c r="A246" s="2" t="s">
        <v>26</v>
      </c>
      <c r="B246" s="2" t="n">
        <v>2017</v>
      </c>
      <c r="C246" s="2" t="n">
        <v>-9.8668</v>
      </c>
      <c r="D246" s="2" t="n">
        <v>-15.3106</v>
      </c>
    </row>
    <row r="247" customFormat="false" ht="15" hidden="false" customHeight="false" outlineLevel="0" collapsed="false">
      <c r="A247" s="2" t="s">
        <v>26</v>
      </c>
      <c r="B247" s="2" t="n">
        <v>2018</v>
      </c>
      <c r="C247" s="2" t="n">
        <v>-9.7288</v>
      </c>
      <c r="D247" s="2" t="n">
        <v>-15.3017</v>
      </c>
    </row>
    <row r="248" customFormat="false" ht="15" hidden="false" customHeight="false" outlineLevel="0" collapsed="false">
      <c r="A248" s="2" t="s">
        <v>26</v>
      </c>
      <c r="B248" s="2" t="n">
        <v>2019</v>
      </c>
      <c r="C248" s="2" t="n">
        <v>-9.8205</v>
      </c>
      <c r="D248" s="2" t="n">
        <v>-15.5491</v>
      </c>
    </row>
    <row r="249" customFormat="false" ht="15" hidden="false" customHeight="false" outlineLevel="0" collapsed="false">
      <c r="A249" s="2" t="s">
        <v>26</v>
      </c>
      <c r="B249" s="2" t="n">
        <v>2020</v>
      </c>
      <c r="C249" s="2" t="n">
        <v>-9.8335</v>
      </c>
      <c r="D249" s="2" t="n">
        <v>-15.5168</v>
      </c>
    </row>
    <row r="250" customFormat="false" ht="15" hidden="false" customHeight="false" outlineLevel="0" collapsed="false">
      <c r="A250" s="2" t="s">
        <v>26</v>
      </c>
      <c r="B250" s="2" t="n">
        <v>2021</v>
      </c>
      <c r="C250" s="2" t="n">
        <v>-9.8091</v>
      </c>
      <c r="D250" s="2" t="n">
        <v>-15.5139</v>
      </c>
    </row>
    <row r="251" customFormat="false" ht="15" hidden="false" customHeight="false" outlineLevel="0" collapsed="false">
      <c r="A251" s="2" t="s">
        <v>26</v>
      </c>
      <c r="B251" s="2" t="n">
        <v>2022</v>
      </c>
      <c r="C251" s="2" t="n">
        <v>-9.6257</v>
      </c>
      <c r="D251" s="2" t="n">
        <v>-15.2029</v>
      </c>
    </row>
    <row r="252" customFormat="false" ht="15" hidden="false" customHeight="false" outlineLevel="0" collapsed="false">
      <c r="A252" s="2" t="s">
        <v>26</v>
      </c>
      <c r="B252" s="2" t="n">
        <v>2023</v>
      </c>
      <c r="C252" s="2" t="n">
        <v>-9.5132</v>
      </c>
      <c r="D252" s="2" t="n">
        <v>-15.096</v>
      </c>
    </row>
    <row r="253" customFormat="false" ht="15" hidden="false" customHeight="false" outlineLevel="0" collapsed="false">
      <c r="A253" s="2" t="s">
        <v>26</v>
      </c>
      <c r="B253" s="2" t="n">
        <v>2024</v>
      </c>
      <c r="C253" s="2" t="n">
        <v>-9.8267</v>
      </c>
      <c r="D253" s="2" t="n">
        <v>-15.4359</v>
      </c>
    </row>
    <row r="254" customFormat="false" ht="15" hidden="false" customHeight="false" outlineLevel="0" collapsed="false">
      <c r="A254" s="2" t="s">
        <v>26</v>
      </c>
      <c r="B254" s="2" t="n">
        <v>2025</v>
      </c>
      <c r="C254" s="2" t="n">
        <v>-9.7386</v>
      </c>
      <c r="D254" s="2" t="n">
        <v>-15.3103</v>
      </c>
    </row>
    <row r="255" customFormat="false" ht="15" hidden="false" customHeight="false" outlineLevel="0" collapsed="false">
      <c r="A255" s="2" t="s">
        <v>27</v>
      </c>
      <c r="B255" s="2" t="n">
        <v>2015</v>
      </c>
      <c r="C255" s="2" t="n">
        <v>-9.6778</v>
      </c>
      <c r="D255" s="2" t="n">
        <v>-15.5273</v>
      </c>
    </row>
    <row r="256" customFormat="false" ht="15" hidden="false" customHeight="false" outlineLevel="0" collapsed="false">
      <c r="A256" s="2" t="s">
        <v>27</v>
      </c>
      <c r="B256" s="2" t="n">
        <v>2016</v>
      </c>
      <c r="C256" s="2" t="n">
        <v>-10.8111</v>
      </c>
      <c r="D256" s="2" t="n">
        <v>-16.2487</v>
      </c>
    </row>
    <row r="257" customFormat="false" ht="15" hidden="false" customHeight="false" outlineLevel="0" collapsed="false">
      <c r="A257" s="2" t="s">
        <v>27</v>
      </c>
      <c r="B257" s="2" t="n">
        <v>2017</v>
      </c>
      <c r="C257" s="2" t="n">
        <v>-10.7259</v>
      </c>
      <c r="D257" s="2" t="n">
        <v>-16.2876</v>
      </c>
    </row>
    <row r="258" customFormat="false" ht="15" hidden="false" customHeight="false" outlineLevel="0" collapsed="false">
      <c r="A258" s="2" t="s">
        <v>27</v>
      </c>
      <c r="B258" s="2" t="n">
        <v>2018</v>
      </c>
      <c r="C258" s="2" t="n">
        <v>-10.6959</v>
      </c>
      <c r="D258" s="2" t="n">
        <v>-16.4555</v>
      </c>
    </row>
    <row r="259" customFormat="false" ht="15" hidden="false" customHeight="false" outlineLevel="0" collapsed="false">
      <c r="A259" s="2" t="s">
        <v>27</v>
      </c>
      <c r="B259" s="2" t="n">
        <v>2019</v>
      </c>
      <c r="C259" s="2" t="n">
        <v>-10.7612</v>
      </c>
      <c r="D259" s="2" t="n">
        <v>-16.6142</v>
      </c>
    </row>
    <row r="260" customFormat="false" ht="15" hidden="false" customHeight="false" outlineLevel="0" collapsed="false">
      <c r="A260" s="2" t="s">
        <v>27</v>
      </c>
      <c r="B260" s="2" t="n">
        <v>2020</v>
      </c>
      <c r="C260" s="2" t="n">
        <v>-10.4968</v>
      </c>
      <c r="D260" s="2" t="n">
        <v>-16.3158</v>
      </c>
    </row>
    <row r="261" customFormat="false" ht="15" hidden="false" customHeight="false" outlineLevel="0" collapsed="false">
      <c r="A261" s="2" t="s">
        <v>27</v>
      </c>
      <c r="B261" s="2" t="n">
        <v>2021</v>
      </c>
      <c r="C261" s="2" t="n">
        <v>-10.5327</v>
      </c>
      <c r="D261" s="2" t="n">
        <v>-16.4112</v>
      </c>
    </row>
    <row r="262" customFormat="false" ht="15" hidden="false" customHeight="false" outlineLevel="0" collapsed="false">
      <c r="A262" s="2" t="s">
        <v>27</v>
      </c>
      <c r="B262" s="2" t="n">
        <v>2022</v>
      </c>
      <c r="C262" s="2" t="n">
        <v>-10.6948</v>
      </c>
      <c r="D262" s="2" t="n">
        <v>-16.4881</v>
      </c>
    </row>
    <row r="263" customFormat="false" ht="15" hidden="false" customHeight="false" outlineLevel="0" collapsed="false">
      <c r="A263" s="2" t="s">
        <v>27</v>
      </c>
      <c r="B263" s="2" t="n">
        <v>2023</v>
      </c>
      <c r="C263" s="2" t="n">
        <v>-10.6457</v>
      </c>
      <c r="D263" s="2" t="n">
        <v>-16.4908</v>
      </c>
    </row>
    <row r="264" customFormat="false" ht="15" hidden="false" customHeight="false" outlineLevel="0" collapsed="false">
      <c r="A264" s="2" t="s">
        <v>27</v>
      </c>
      <c r="B264" s="2" t="n">
        <v>2024</v>
      </c>
      <c r="C264" s="2" t="n">
        <v>-10.8065</v>
      </c>
      <c r="D264" s="2" t="n">
        <v>-16.5666</v>
      </c>
    </row>
    <row r="265" customFormat="false" ht="15" hidden="false" customHeight="false" outlineLevel="0" collapsed="false">
      <c r="A265" s="2" t="s">
        <v>27</v>
      </c>
      <c r="B265" s="2" t="n">
        <v>2025</v>
      </c>
      <c r="C265" s="2" t="n">
        <v>-10.7941</v>
      </c>
      <c r="D265" s="2" t="n">
        <v>-16.5103</v>
      </c>
    </row>
    <row r="266" customFormat="false" ht="15" hidden="false" customHeight="false" outlineLevel="0" collapsed="false">
      <c r="A266" s="2" t="s">
        <v>28</v>
      </c>
      <c r="B266" s="2" t="n">
        <v>2015</v>
      </c>
      <c r="C266" s="2" t="n">
        <v>-9.5876</v>
      </c>
      <c r="D266" s="2" t="n">
        <v>-15.0528</v>
      </c>
    </row>
    <row r="267" customFormat="false" ht="15" hidden="false" customHeight="false" outlineLevel="0" collapsed="false">
      <c r="A267" s="2" t="s">
        <v>28</v>
      </c>
      <c r="B267" s="2" t="n">
        <v>2016</v>
      </c>
      <c r="C267" s="2" t="n">
        <v>-10.4861</v>
      </c>
      <c r="D267" s="2" t="n">
        <v>-15.6723</v>
      </c>
    </row>
    <row r="268" customFormat="false" ht="15" hidden="false" customHeight="false" outlineLevel="0" collapsed="false">
      <c r="A268" s="2" t="s">
        <v>28</v>
      </c>
      <c r="B268" s="2" t="n">
        <v>2017</v>
      </c>
      <c r="C268" s="2" t="n">
        <v>-10.3304</v>
      </c>
      <c r="D268" s="2" t="n">
        <v>-15.5497</v>
      </c>
    </row>
    <row r="269" customFormat="false" ht="15" hidden="false" customHeight="false" outlineLevel="0" collapsed="false">
      <c r="A269" s="2" t="s">
        <v>28</v>
      </c>
      <c r="B269" s="2" t="n">
        <v>2018</v>
      </c>
      <c r="C269" s="2" t="n">
        <v>-10.0999</v>
      </c>
      <c r="D269" s="2" t="n">
        <v>-15.4464</v>
      </c>
    </row>
    <row r="270" customFormat="false" ht="15" hidden="false" customHeight="false" outlineLevel="0" collapsed="false">
      <c r="A270" s="2" t="s">
        <v>28</v>
      </c>
      <c r="B270" s="2" t="n">
        <v>2019</v>
      </c>
      <c r="C270" s="2" t="n">
        <v>-10.3127</v>
      </c>
      <c r="D270" s="2" t="n">
        <v>-15.8361</v>
      </c>
    </row>
    <row r="271" customFormat="false" ht="15" hidden="false" customHeight="false" outlineLevel="0" collapsed="false">
      <c r="A271" s="2" t="s">
        <v>28</v>
      </c>
      <c r="B271" s="2" t="n">
        <v>2020</v>
      </c>
      <c r="C271" s="2" t="n">
        <v>-10.1042</v>
      </c>
      <c r="D271" s="2" t="n">
        <v>-15.5815</v>
      </c>
    </row>
    <row r="272" customFormat="false" ht="15" hidden="false" customHeight="false" outlineLevel="0" collapsed="false">
      <c r="A272" s="2" t="s">
        <v>28</v>
      </c>
      <c r="B272" s="2" t="n">
        <v>2021</v>
      </c>
      <c r="C272" s="2" t="n">
        <v>-10.1249</v>
      </c>
      <c r="D272" s="2" t="n">
        <v>-15.6328</v>
      </c>
    </row>
    <row r="273" customFormat="false" ht="15" hidden="false" customHeight="false" outlineLevel="0" collapsed="false">
      <c r="A273" s="2" t="s">
        <v>28</v>
      </c>
      <c r="B273" s="2" t="n">
        <v>2022</v>
      </c>
      <c r="C273" s="2" t="n">
        <v>-10.0538</v>
      </c>
      <c r="D273" s="2" t="n">
        <v>-15.4914</v>
      </c>
    </row>
    <row r="274" customFormat="false" ht="15" hidden="false" customHeight="false" outlineLevel="0" collapsed="false">
      <c r="A274" s="2" t="s">
        <v>28</v>
      </c>
      <c r="B274" s="2" t="n">
        <v>2023</v>
      </c>
      <c r="C274" s="2" t="n">
        <v>-9.8578</v>
      </c>
      <c r="D274" s="2" t="n">
        <v>-15.2781</v>
      </c>
    </row>
    <row r="275" customFormat="false" ht="15" hidden="false" customHeight="false" outlineLevel="0" collapsed="false">
      <c r="A275" s="2" t="s">
        <v>28</v>
      </c>
      <c r="B275" s="2" t="n">
        <v>2024</v>
      </c>
      <c r="C275" s="2" t="n">
        <v>-10.2657</v>
      </c>
      <c r="D275" s="2" t="n">
        <v>-15.7025</v>
      </c>
    </row>
    <row r="276" customFormat="false" ht="15" hidden="false" customHeight="false" outlineLevel="0" collapsed="false">
      <c r="A276" s="2" t="s">
        <v>28</v>
      </c>
      <c r="B276" s="2" t="n">
        <v>2025</v>
      </c>
      <c r="C276" s="2" t="n">
        <v>-10.1684</v>
      </c>
      <c r="D276" s="2" t="n">
        <v>-15.6087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3" min="2" style="0" width="13"/>
    <col collapsed="false" customWidth="true" hidden="false" outlineLevel="0" max="4" min="4" style="0" width="14"/>
    <col collapsed="false" customWidth="true" hidden="false" outlineLevel="0" max="5" min="5" style="0" width="18"/>
  </cols>
  <sheetData>
    <row r="1" customFormat="false" ht="17.35" hidden="false" customHeight="false" outlineLevel="0" collapsed="false">
      <c r="A1" s="3" t="s">
        <v>29</v>
      </c>
      <c r="B1" s="3"/>
      <c r="C1" s="3"/>
      <c r="D1" s="3"/>
      <c r="E1" s="3"/>
    </row>
    <row r="2" customFormat="false" ht="27.75" hidden="false" customHeight="true" outlineLevel="0" collapsed="false">
      <c r="A2" s="4" t="s">
        <v>30</v>
      </c>
      <c r="B2" s="4"/>
      <c r="C2" s="4"/>
      <c r="D2" s="4"/>
      <c r="E2" s="4"/>
    </row>
    <row r="4" customFormat="false" ht="25.35" hidden="false" customHeight="false" outlineLevel="0" collapsed="false">
      <c r="A4" s="5" t="s">
        <v>31</v>
      </c>
      <c r="B4" s="5" t="s">
        <v>32</v>
      </c>
      <c r="C4" s="5" t="s">
        <v>33</v>
      </c>
      <c r="D4" s="5" t="s">
        <v>34</v>
      </c>
      <c r="E4" s="5" t="s">
        <v>35</v>
      </c>
    </row>
    <row r="5" customFormat="false" ht="15" hidden="false" customHeight="false" outlineLevel="0" collapsed="false">
      <c r="A5" s="6" t="n">
        <v>2015</v>
      </c>
      <c r="B5" s="6" t="n">
        <f aca="false">ROUND(AVERAGEIF(Data!$B$2:$B$276,A5,Data!$C$2:$C$276),2)</f>
        <v>-8.9</v>
      </c>
      <c r="C5" s="6" t="n">
        <f aca="false">ROUND(AVERAGEIF(Data!$B$2:$B$276,A5,Data!$D$2:$D$276),2)</f>
        <v>-14.59</v>
      </c>
      <c r="D5" s="6" t="n">
        <f aca="false">ROUND(B5-C5,2)</f>
        <v>5.69</v>
      </c>
      <c r="E5" s="6" t="n">
        <f aca="false">COUNTIF(Data!$B$2:$B$276,A5)</f>
        <v>25</v>
      </c>
    </row>
    <row r="6" customFormat="false" ht="15" hidden="false" customHeight="false" outlineLevel="0" collapsed="false">
      <c r="A6" s="6" t="n">
        <v>2016</v>
      </c>
      <c r="B6" s="6" t="n">
        <f aca="false">ROUND(AVERAGEIF(Data!$B$2:$B$276,A6,Data!$C$2:$C$276),2)</f>
        <v>-10.12</v>
      </c>
      <c r="C6" s="6" t="n">
        <f aca="false">ROUND(AVERAGEIF(Data!$B$2:$B$276,A6,Data!$D$2:$D$276),2)</f>
        <v>-15.42</v>
      </c>
      <c r="D6" s="6" t="n">
        <f aca="false">ROUND(B6-C6,2)</f>
        <v>5.3</v>
      </c>
      <c r="E6" s="6" t="n">
        <f aca="false">COUNTIF(Data!$B$2:$B$276,A6)</f>
        <v>25</v>
      </c>
    </row>
    <row r="7" customFormat="false" ht="15" hidden="false" customHeight="false" outlineLevel="0" collapsed="false">
      <c r="A7" s="6" t="n">
        <v>2017</v>
      </c>
      <c r="B7" s="6" t="n">
        <f aca="false">ROUND(AVERAGEIF(Data!$B$2:$B$276,A7,Data!$C$2:$C$276),2)</f>
        <v>-9.92</v>
      </c>
      <c r="C7" s="6" t="n">
        <f aca="false">ROUND(AVERAGEIF(Data!$B$2:$B$276,A7,Data!$D$2:$D$276),2)</f>
        <v>-15.29</v>
      </c>
      <c r="D7" s="6" t="n">
        <f aca="false">ROUND(B7-C7,2)</f>
        <v>5.37</v>
      </c>
      <c r="E7" s="6" t="n">
        <f aca="false">COUNTIF(Data!$B$2:$B$276,A7)</f>
        <v>25</v>
      </c>
    </row>
    <row r="8" customFormat="false" ht="15" hidden="false" customHeight="false" outlineLevel="0" collapsed="false">
      <c r="A8" s="6" t="n">
        <v>2018</v>
      </c>
      <c r="B8" s="6" t="n">
        <f aca="false">ROUND(AVERAGEIF(Data!$B$2:$B$276,A8,Data!$C$2:$C$276),2)</f>
        <v>-9.93</v>
      </c>
      <c r="C8" s="6" t="n">
        <f aca="false">ROUND(AVERAGEIF(Data!$B$2:$B$276,A8,Data!$D$2:$D$276),2)</f>
        <v>-15.49</v>
      </c>
      <c r="D8" s="6" t="n">
        <f aca="false">ROUND(B8-C8,2)</f>
        <v>5.56</v>
      </c>
      <c r="E8" s="6" t="n">
        <f aca="false">COUNTIF(Data!$B$2:$B$276,A8)</f>
        <v>25</v>
      </c>
    </row>
    <row r="9" customFormat="false" ht="15" hidden="false" customHeight="false" outlineLevel="0" collapsed="false">
      <c r="A9" s="6" t="n">
        <v>2019</v>
      </c>
      <c r="B9" s="6" t="n">
        <f aca="false">ROUND(AVERAGEIF(Data!$B$2:$B$276,A9,Data!$C$2:$C$276),2)</f>
        <v>-9.87</v>
      </c>
      <c r="C9" s="6" t="n">
        <f aca="false">ROUND(AVERAGEIF(Data!$B$2:$B$276,A9,Data!$D$2:$D$276),2)</f>
        <v>-15.52</v>
      </c>
      <c r="D9" s="6" t="n">
        <f aca="false">ROUND(B9-C9,2)</f>
        <v>5.65</v>
      </c>
      <c r="E9" s="6" t="n">
        <f aca="false">COUNTIF(Data!$B$2:$B$276,A9)</f>
        <v>25</v>
      </c>
    </row>
    <row r="10" customFormat="false" ht="15" hidden="false" customHeight="false" outlineLevel="0" collapsed="false">
      <c r="A10" s="6" t="n">
        <v>2020</v>
      </c>
      <c r="B10" s="6" t="n">
        <f aca="false">ROUND(AVERAGEIF(Data!$B$2:$B$276,A10,Data!$C$2:$C$276),2)</f>
        <v>-9.86</v>
      </c>
      <c r="C10" s="6" t="n">
        <f aca="false">ROUND(AVERAGEIF(Data!$B$2:$B$276,A10,Data!$D$2:$D$276),2)</f>
        <v>-15.5</v>
      </c>
      <c r="D10" s="6" t="n">
        <f aca="false">ROUND(B10-C10,2)</f>
        <v>5.64</v>
      </c>
      <c r="E10" s="6" t="n">
        <f aca="false">COUNTIF(Data!$B$2:$B$276,A10)</f>
        <v>25</v>
      </c>
    </row>
    <row r="11" customFormat="false" ht="15" hidden="false" customHeight="false" outlineLevel="0" collapsed="false">
      <c r="A11" s="6" t="n">
        <v>2021</v>
      </c>
      <c r="B11" s="6" t="n">
        <f aca="false">ROUND(AVERAGEIF(Data!$B$2:$B$276,A11,Data!$C$2:$C$276),2)</f>
        <v>-9.85</v>
      </c>
      <c r="C11" s="6" t="n">
        <f aca="false">ROUND(AVERAGEIF(Data!$B$2:$B$276,A11,Data!$D$2:$D$276),2)</f>
        <v>-15.52</v>
      </c>
      <c r="D11" s="6" t="n">
        <f aca="false">ROUND(B11-C11,2)</f>
        <v>5.67</v>
      </c>
      <c r="E11" s="6" t="n">
        <f aca="false">COUNTIF(Data!$B$2:$B$276,A11)</f>
        <v>25</v>
      </c>
    </row>
    <row r="12" customFormat="false" ht="15" hidden="false" customHeight="false" outlineLevel="0" collapsed="false">
      <c r="A12" s="6" t="n">
        <v>2022</v>
      </c>
      <c r="B12" s="6" t="n">
        <f aca="false">ROUND(AVERAGEIF(Data!$B$2:$B$276,A12,Data!$C$2:$C$276),2)</f>
        <v>-9.72</v>
      </c>
      <c r="C12" s="6" t="n">
        <f aca="false">ROUND(AVERAGEIF(Data!$B$2:$B$276,A12,Data!$D$2:$D$276),2)</f>
        <v>-15.29</v>
      </c>
      <c r="D12" s="6" t="n">
        <f aca="false">ROUND(B12-C12,2)</f>
        <v>5.57</v>
      </c>
      <c r="E12" s="6" t="n">
        <f aca="false">COUNTIF(Data!$B$2:$B$276,A12)</f>
        <v>25</v>
      </c>
    </row>
    <row r="13" customFormat="false" ht="15" hidden="false" customHeight="false" outlineLevel="0" collapsed="false">
      <c r="A13" s="6" t="n">
        <v>2023</v>
      </c>
      <c r="B13" s="6" t="n">
        <f aca="false">ROUND(AVERAGEIF(Data!$B$2:$B$276,A13,Data!$C$2:$C$276),2)</f>
        <v>-9.76</v>
      </c>
      <c r="C13" s="6" t="n">
        <f aca="false">ROUND(AVERAGEIF(Data!$B$2:$B$276,A13,Data!$D$2:$D$276),2)</f>
        <v>-15.38</v>
      </c>
      <c r="D13" s="6" t="n">
        <f aca="false">ROUND(B13-C13,2)</f>
        <v>5.62</v>
      </c>
      <c r="E13" s="6" t="n">
        <f aca="false">COUNTIF(Data!$B$2:$B$276,A13)</f>
        <v>25</v>
      </c>
    </row>
    <row r="14" customFormat="false" ht="15" hidden="false" customHeight="false" outlineLevel="0" collapsed="false">
      <c r="A14" s="6" t="n">
        <v>2024</v>
      </c>
      <c r="B14" s="6" t="n">
        <f aca="false">ROUND(AVERAGEIF(Data!$B$2:$B$276,A14,Data!$C$2:$C$276),2)</f>
        <v>-9.93</v>
      </c>
      <c r="C14" s="6" t="n">
        <f aca="false">ROUND(AVERAGEIF(Data!$B$2:$B$276,A14,Data!$D$2:$D$276),2)</f>
        <v>-15.51</v>
      </c>
      <c r="D14" s="6" t="n">
        <f aca="false">ROUND(B14-C14,2)</f>
        <v>5.58</v>
      </c>
      <c r="E14" s="6" t="n">
        <f aca="false">COUNTIF(Data!$B$2:$B$276,A14)</f>
        <v>25</v>
      </c>
    </row>
    <row r="15" customFormat="false" ht="15" hidden="false" customHeight="false" outlineLevel="0" collapsed="false">
      <c r="A15" s="6" t="n">
        <v>2025</v>
      </c>
      <c r="B15" s="6" t="n">
        <f aca="false">ROUND(AVERAGEIF(Data!$B$2:$B$276,A15,Data!$C$2:$C$276),2)</f>
        <v>-9.89</v>
      </c>
      <c r="C15" s="6" t="n">
        <f aca="false">ROUND(AVERAGEIF(Data!$B$2:$B$276,A15,Data!$D$2:$D$276),2)</f>
        <v>-15.45</v>
      </c>
      <c r="D15" s="6" t="n">
        <f aca="false">ROUND(B15-C15,2)</f>
        <v>5.56</v>
      </c>
      <c r="E15" s="6" t="n">
        <f aca="false">COUNTIF(Data!$B$2:$B$276,A15)</f>
        <v>25</v>
      </c>
    </row>
    <row r="17" customFormat="false" ht="15" hidden="false" customHeight="false" outlineLevel="0" collapsed="false">
      <c r="A17" s="7" t="s">
        <v>36</v>
      </c>
      <c r="B17" s="7"/>
      <c r="C17" s="7"/>
      <c r="D17" s="7"/>
      <c r="E17" s="7"/>
    </row>
  </sheetData>
  <mergeCells count="3">
    <mergeCell ref="A1:E1"/>
    <mergeCell ref="A2:E2"/>
    <mergeCell ref="A17:E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2" min="2" style="0" width="9"/>
  </cols>
  <sheetData>
    <row r="1" customFormat="false" ht="17.35" hidden="false" customHeight="false" outlineLevel="0" collapsed="false">
      <c r="A1" s="3" t="s">
        <v>37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3" customFormat="false" ht="15" hidden="false" customHeight="false" outlineLevel="0" collapsed="false">
      <c r="A3" s="8" t="s">
        <v>38</v>
      </c>
      <c r="B3" s="9" t="n">
        <v>2015</v>
      </c>
      <c r="C3" s="9" t="n">
        <v>2016</v>
      </c>
      <c r="D3" s="9" t="n">
        <v>2017</v>
      </c>
      <c r="E3" s="9" t="n">
        <v>2018</v>
      </c>
      <c r="F3" s="9" t="n">
        <v>2019</v>
      </c>
      <c r="G3" s="9" t="n">
        <v>2020</v>
      </c>
      <c r="H3" s="9" t="n">
        <v>2021</v>
      </c>
      <c r="I3" s="9" t="n">
        <v>2022</v>
      </c>
      <c r="J3" s="9" t="n">
        <v>2023</v>
      </c>
      <c r="K3" s="9" t="n">
        <v>2024</v>
      </c>
      <c r="L3" s="9" t="n">
        <v>2025</v>
      </c>
    </row>
    <row r="4" customFormat="false" ht="15" hidden="false" customHeight="false" outlineLevel="0" collapsed="false">
      <c r="A4" s="10" t="s">
        <v>4</v>
      </c>
      <c r="B4" s="6" t="n">
        <f aca="false">ROUND(SUMIFS(Data!$C$2:$C$276,Data!$A$2:$A$276,$A4,Data!$B$2:$B$276,B$3),2)</f>
        <v>-9.12</v>
      </c>
      <c r="C4" s="6" t="n">
        <f aca="false">ROUND(SUMIFS(Data!$C$2:$C$276,Data!$A$2:$A$276,$A4,Data!$B$2:$B$276,C$3),2)</f>
        <v>-10.29</v>
      </c>
      <c r="D4" s="6" t="n">
        <f aca="false">ROUND(SUMIFS(Data!$C$2:$C$276,Data!$A$2:$A$276,$A4,Data!$B$2:$B$276,D$3),2)</f>
        <v>-10.14</v>
      </c>
      <c r="E4" s="6" t="n">
        <f aca="false">ROUND(SUMIFS(Data!$C$2:$C$276,Data!$A$2:$A$276,$A4,Data!$B$2:$B$276,E$3),2)</f>
        <v>-10.19</v>
      </c>
      <c r="F4" s="6" t="n">
        <f aca="false">ROUND(SUMIFS(Data!$C$2:$C$276,Data!$A$2:$A$276,$A4,Data!$B$2:$B$276,F$3),2)</f>
        <v>-10.06</v>
      </c>
      <c r="G4" s="6" t="n">
        <f aca="false">ROUND(SUMIFS(Data!$C$2:$C$276,Data!$A$2:$A$276,$A4,Data!$B$2:$B$276,G$3),2)</f>
        <v>-10.04</v>
      </c>
      <c r="H4" s="6" t="n">
        <f aca="false">ROUND(SUMIFS(Data!$C$2:$C$276,Data!$A$2:$A$276,$A4,Data!$B$2:$B$276,H$3),2)</f>
        <v>-9.94</v>
      </c>
      <c r="I4" s="6" t="n">
        <f aca="false">ROUND(SUMIFS(Data!$C$2:$C$276,Data!$A$2:$A$276,$A4,Data!$B$2:$B$276,I$3),2)</f>
        <v>-9.86</v>
      </c>
      <c r="J4" s="6" t="n">
        <f aca="false">ROUND(SUMIFS(Data!$C$2:$C$276,Data!$A$2:$A$276,$A4,Data!$B$2:$B$276,J$3),2)</f>
        <v>-9.93</v>
      </c>
      <c r="K4" s="6" t="n">
        <f aca="false">ROUND(SUMIFS(Data!$C$2:$C$276,Data!$A$2:$A$276,$A4,Data!$B$2:$B$276,K$3),2)</f>
        <v>-10.14</v>
      </c>
      <c r="L4" s="6" t="n">
        <f aca="false">ROUND(SUMIFS(Data!$C$2:$C$276,Data!$A$2:$A$276,$A4,Data!$B$2:$B$276,L$3),2)</f>
        <v>-10.14</v>
      </c>
    </row>
    <row r="5" customFormat="false" ht="15" hidden="false" customHeight="false" outlineLevel="0" collapsed="false">
      <c r="A5" s="10" t="s">
        <v>5</v>
      </c>
      <c r="B5" s="6" t="n">
        <f aca="false">ROUND(SUMIFS(Data!$C$2:$C$276,Data!$A$2:$A$276,$A5,Data!$B$2:$B$276,B$3),2)</f>
        <v>-9.41</v>
      </c>
      <c r="C5" s="6" t="n">
        <f aca="false">ROUND(SUMIFS(Data!$C$2:$C$276,Data!$A$2:$A$276,$A5,Data!$B$2:$B$276,C$3),2)</f>
        <v>-10.63</v>
      </c>
      <c r="D5" s="6" t="n">
        <f aca="false">ROUND(SUMIFS(Data!$C$2:$C$276,Data!$A$2:$A$276,$A5,Data!$B$2:$B$276,D$3),2)</f>
        <v>-10.45</v>
      </c>
      <c r="E5" s="6" t="n">
        <f aca="false">ROUND(SUMIFS(Data!$C$2:$C$276,Data!$A$2:$A$276,$A5,Data!$B$2:$B$276,E$3),2)</f>
        <v>-10.61</v>
      </c>
      <c r="F5" s="6" t="n">
        <f aca="false">ROUND(SUMIFS(Data!$C$2:$C$276,Data!$A$2:$A$276,$A5,Data!$B$2:$B$276,F$3),2)</f>
        <v>-10.59</v>
      </c>
      <c r="G5" s="6" t="n">
        <f aca="false">ROUND(SUMIFS(Data!$C$2:$C$276,Data!$A$2:$A$276,$A5,Data!$B$2:$B$276,G$3),2)</f>
        <v>-10.5</v>
      </c>
      <c r="H5" s="6" t="n">
        <f aca="false">ROUND(SUMIFS(Data!$C$2:$C$276,Data!$A$2:$A$276,$A5,Data!$B$2:$B$276,H$3),2)</f>
        <v>-10.46</v>
      </c>
      <c r="I5" s="6" t="n">
        <f aca="false">ROUND(SUMIFS(Data!$C$2:$C$276,Data!$A$2:$A$276,$A5,Data!$B$2:$B$276,I$3),2)</f>
        <v>-10.42</v>
      </c>
      <c r="J5" s="6" t="n">
        <f aca="false">ROUND(SUMIFS(Data!$C$2:$C$276,Data!$A$2:$A$276,$A5,Data!$B$2:$B$276,J$3),2)</f>
        <v>-10.41</v>
      </c>
      <c r="K5" s="6" t="n">
        <f aca="false">ROUND(SUMIFS(Data!$C$2:$C$276,Data!$A$2:$A$276,$A5,Data!$B$2:$B$276,K$3),2)</f>
        <v>-10.59</v>
      </c>
      <c r="L5" s="6" t="n">
        <f aca="false">ROUND(SUMIFS(Data!$C$2:$C$276,Data!$A$2:$A$276,$A5,Data!$B$2:$B$276,L$3),2)</f>
        <v>-10.58</v>
      </c>
    </row>
    <row r="6" customFormat="false" ht="15" hidden="false" customHeight="false" outlineLevel="0" collapsed="false">
      <c r="A6" s="10" t="s">
        <v>6</v>
      </c>
      <c r="B6" s="6" t="n">
        <f aca="false">ROUND(SUMIFS(Data!$C$2:$C$276,Data!$A$2:$A$276,$A6,Data!$B$2:$B$276,B$3),2)</f>
        <v>-8.08</v>
      </c>
      <c r="C6" s="6" t="n">
        <f aca="false">ROUND(SUMIFS(Data!$C$2:$C$276,Data!$A$2:$A$276,$A6,Data!$B$2:$B$276,C$3),2)</f>
        <v>-8.53</v>
      </c>
      <c r="D6" s="6" t="n">
        <f aca="false">ROUND(SUMIFS(Data!$C$2:$C$276,Data!$A$2:$A$276,$A6,Data!$B$2:$B$276,D$3),2)</f>
        <v>-8.08</v>
      </c>
      <c r="E6" s="6" t="n">
        <f aca="false">ROUND(SUMIFS(Data!$C$2:$C$276,Data!$A$2:$A$276,$A6,Data!$B$2:$B$276,E$3),2)</f>
        <v>-8.5</v>
      </c>
      <c r="F6" s="6" t="n">
        <f aca="false">ROUND(SUMIFS(Data!$C$2:$C$276,Data!$A$2:$A$276,$A6,Data!$B$2:$B$276,F$3),2)</f>
        <v>-7.99</v>
      </c>
      <c r="G6" s="6" t="n">
        <f aca="false">ROUND(SUMIFS(Data!$C$2:$C$276,Data!$A$2:$A$276,$A6,Data!$B$2:$B$276,G$3),2)</f>
        <v>-8.36</v>
      </c>
      <c r="H6" s="6" t="n">
        <f aca="false">ROUND(SUMIFS(Data!$C$2:$C$276,Data!$A$2:$A$276,$A6,Data!$B$2:$B$276,H$3),2)</f>
        <v>-8.42</v>
      </c>
      <c r="I6" s="6" t="n">
        <f aca="false">ROUND(SUMIFS(Data!$C$2:$C$276,Data!$A$2:$A$276,$A6,Data!$B$2:$B$276,I$3),2)</f>
        <v>-8.02</v>
      </c>
      <c r="J6" s="6" t="n">
        <f aca="false">ROUND(SUMIFS(Data!$C$2:$C$276,Data!$A$2:$A$276,$A6,Data!$B$2:$B$276,J$3),2)</f>
        <v>-8.4</v>
      </c>
      <c r="K6" s="6" t="n">
        <f aca="false">ROUND(SUMIFS(Data!$C$2:$C$276,Data!$A$2:$A$276,$A6,Data!$B$2:$B$276,K$3),2)</f>
        <v>-8.25</v>
      </c>
      <c r="L6" s="6" t="n">
        <f aca="false">ROUND(SUMIFS(Data!$C$2:$C$276,Data!$A$2:$A$276,$A6,Data!$B$2:$B$276,L$3),2)</f>
        <v>-8.3</v>
      </c>
    </row>
    <row r="7" customFormat="false" ht="15" hidden="false" customHeight="false" outlineLevel="0" collapsed="false">
      <c r="A7" s="10" t="s">
        <v>7</v>
      </c>
      <c r="B7" s="6" t="n">
        <f aca="false">ROUND(SUMIFS(Data!$C$2:$C$276,Data!$A$2:$A$276,$A7,Data!$B$2:$B$276,B$3),2)</f>
        <v>-7.63</v>
      </c>
      <c r="C7" s="6" t="n">
        <f aca="false">ROUND(SUMIFS(Data!$C$2:$C$276,Data!$A$2:$A$276,$A7,Data!$B$2:$B$276,C$3),2)</f>
        <v>-9.88</v>
      </c>
      <c r="D7" s="6" t="n">
        <f aca="false">ROUND(SUMIFS(Data!$C$2:$C$276,Data!$A$2:$A$276,$A7,Data!$B$2:$B$276,D$3),2)</f>
        <v>-9.25</v>
      </c>
      <c r="E7" s="6" t="n">
        <f aca="false">ROUND(SUMIFS(Data!$C$2:$C$276,Data!$A$2:$A$276,$A7,Data!$B$2:$B$276,E$3),2)</f>
        <v>-8.89</v>
      </c>
      <c r="F7" s="6" t="n">
        <f aca="false">ROUND(SUMIFS(Data!$C$2:$C$276,Data!$A$2:$A$276,$A7,Data!$B$2:$B$276,F$3),2)</f>
        <v>-8.92</v>
      </c>
      <c r="G7" s="6" t="n">
        <f aca="false">ROUND(SUMIFS(Data!$C$2:$C$276,Data!$A$2:$A$276,$A7,Data!$B$2:$B$276,G$3),2)</f>
        <v>-9.2</v>
      </c>
      <c r="H7" s="6" t="n">
        <f aca="false">ROUND(SUMIFS(Data!$C$2:$C$276,Data!$A$2:$A$276,$A7,Data!$B$2:$B$276,H$3),2)</f>
        <v>-9.77</v>
      </c>
      <c r="I7" s="6" t="n">
        <f aca="false">ROUND(SUMIFS(Data!$C$2:$C$276,Data!$A$2:$A$276,$A7,Data!$B$2:$B$276,I$3),2)</f>
        <v>-8.97</v>
      </c>
      <c r="J7" s="6" t="n">
        <f aca="false">ROUND(SUMIFS(Data!$C$2:$C$276,Data!$A$2:$A$276,$A7,Data!$B$2:$B$276,J$3),2)</f>
        <v>-9.59</v>
      </c>
      <c r="K7" s="6" t="n">
        <f aca="false">ROUND(SUMIFS(Data!$C$2:$C$276,Data!$A$2:$A$276,$A7,Data!$B$2:$B$276,K$3),2)</f>
        <v>-9.14</v>
      </c>
      <c r="L7" s="6" t="n">
        <f aca="false">ROUND(SUMIFS(Data!$C$2:$C$276,Data!$A$2:$A$276,$A7,Data!$B$2:$B$276,L$3),2)</f>
        <v>-9.11</v>
      </c>
    </row>
    <row r="8" customFormat="false" ht="15" hidden="false" customHeight="false" outlineLevel="0" collapsed="false">
      <c r="A8" s="10" t="s">
        <v>8</v>
      </c>
      <c r="B8" s="6" t="n">
        <f aca="false">ROUND(SUMIFS(Data!$C$2:$C$276,Data!$A$2:$A$276,$A8,Data!$B$2:$B$276,B$3),2)</f>
        <v>-9.31</v>
      </c>
      <c r="C8" s="6" t="n">
        <f aca="false">ROUND(SUMIFS(Data!$C$2:$C$276,Data!$A$2:$A$276,$A8,Data!$B$2:$B$276,C$3),2)</f>
        <v>-10.48</v>
      </c>
      <c r="D8" s="6" t="n">
        <f aca="false">ROUND(SUMIFS(Data!$C$2:$C$276,Data!$A$2:$A$276,$A8,Data!$B$2:$B$276,D$3),2)</f>
        <v>-10.34</v>
      </c>
      <c r="E8" s="6" t="n">
        <f aca="false">ROUND(SUMIFS(Data!$C$2:$C$276,Data!$A$2:$A$276,$A8,Data!$B$2:$B$276,E$3),2)</f>
        <v>-10.31</v>
      </c>
      <c r="F8" s="6" t="n">
        <f aca="false">ROUND(SUMIFS(Data!$C$2:$C$276,Data!$A$2:$A$276,$A8,Data!$B$2:$B$276,F$3),2)</f>
        <v>-10.35</v>
      </c>
      <c r="G8" s="6" t="n">
        <f aca="false">ROUND(SUMIFS(Data!$C$2:$C$276,Data!$A$2:$A$276,$A8,Data!$B$2:$B$276,G$3),2)</f>
        <v>-10.07</v>
      </c>
      <c r="H8" s="6" t="n">
        <f aca="false">ROUND(SUMIFS(Data!$C$2:$C$276,Data!$A$2:$A$276,$A8,Data!$B$2:$B$276,H$3),2)</f>
        <v>-10.19</v>
      </c>
      <c r="I8" s="6" t="n">
        <f aca="false">ROUND(SUMIFS(Data!$C$2:$C$276,Data!$A$2:$A$276,$A8,Data!$B$2:$B$276,I$3),2)</f>
        <v>-10.35</v>
      </c>
      <c r="J8" s="6" t="n">
        <f aca="false">ROUND(SUMIFS(Data!$C$2:$C$276,Data!$A$2:$A$276,$A8,Data!$B$2:$B$276,J$3),2)</f>
        <v>-10.27</v>
      </c>
      <c r="K8" s="6" t="n">
        <f aca="false">ROUND(SUMIFS(Data!$C$2:$C$276,Data!$A$2:$A$276,$A8,Data!$B$2:$B$276,K$3),2)</f>
        <v>-10.31</v>
      </c>
      <c r="L8" s="6" t="n">
        <f aca="false">ROUND(SUMIFS(Data!$C$2:$C$276,Data!$A$2:$A$276,$A8,Data!$B$2:$B$276,L$3),2)</f>
        <v>-10.39</v>
      </c>
    </row>
    <row r="9" customFormat="false" ht="15" hidden="false" customHeight="false" outlineLevel="0" collapsed="false">
      <c r="A9" s="10" t="s">
        <v>9</v>
      </c>
      <c r="B9" s="6" t="n">
        <f aca="false">ROUND(SUMIFS(Data!$C$2:$C$276,Data!$A$2:$A$276,$A9,Data!$B$2:$B$276,B$3),2)</f>
        <v>-9</v>
      </c>
      <c r="C9" s="6" t="n">
        <f aca="false">ROUND(SUMIFS(Data!$C$2:$C$276,Data!$A$2:$A$276,$A9,Data!$B$2:$B$276,C$3),2)</f>
        <v>-10.25</v>
      </c>
      <c r="D9" s="6" t="n">
        <f aca="false">ROUND(SUMIFS(Data!$C$2:$C$276,Data!$A$2:$A$276,$A9,Data!$B$2:$B$276,D$3),2)</f>
        <v>-10.18</v>
      </c>
      <c r="E9" s="6" t="n">
        <f aca="false">ROUND(SUMIFS(Data!$C$2:$C$276,Data!$A$2:$A$276,$A9,Data!$B$2:$B$276,E$3),2)</f>
        <v>-10.22</v>
      </c>
      <c r="F9" s="6" t="n">
        <f aca="false">ROUND(SUMIFS(Data!$C$2:$C$276,Data!$A$2:$A$276,$A9,Data!$B$2:$B$276,F$3),2)</f>
        <v>-10.29</v>
      </c>
      <c r="G9" s="6" t="n">
        <f aca="false">ROUND(SUMIFS(Data!$C$2:$C$276,Data!$A$2:$A$276,$A9,Data!$B$2:$B$276,G$3),2)</f>
        <v>-10.11</v>
      </c>
      <c r="H9" s="6" t="n">
        <f aca="false">ROUND(SUMIFS(Data!$C$2:$C$276,Data!$A$2:$A$276,$A9,Data!$B$2:$B$276,H$3),2)</f>
        <v>-10.01</v>
      </c>
      <c r="I9" s="6" t="n">
        <f aca="false">ROUND(SUMIFS(Data!$C$2:$C$276,Data!$A$2:$A$276,$A9,Data!$B$2:$B$276,I$3),2)</f>
        <v>-9.98</v>
      </c>
      <c r="J9" s="6" t="n">
        <f aca="false">ROUND(SUMIFS(Data!$C$2:$C$276,Data!$A$2:$A$276,$A9,Data!$B$2:$B$276,J$3),2)</f>
        <v>-9.98</v>
      </c>
      <c r="K9" s="6" t="n">
        <f aca="false">ROUND(SUMIFS(Data!$C$2:$C$276,Data!$A$2:$A$276,$A9,Data!$B$2:$B$276,K$3),2)</f>
        <v>-10.25</v>
      </c>
      <c r="L9" s="6" t="n">
        <f aca="false">ROUND(SUMIFS(Data!$C$2:$C$276,Data!$A$2:$A$276,$A9,Data!$B$2:$B$276,L$3),2)</f>
        <v>-10.18</v>
      </c>
    </row>
    <row r="10" customFormat="false" ht="15" hidden="false" customHeight="false" outlineLevel="0" collapsed="false">
      <c r="A10" s="10" t="s">
        <v>10</v>
      </c>
      <c r="B10" s="6" t="n">
        <f aca="false">ROUND(SUMIFS(Data!$C$2:$C$276,Data!$A$2:$A$276,$A10,Data!$B$2:$B$276,B$3),2)</f>
        <v>-9.43</v>
      </c>
      <c r="C10" s="6" t="n">
        <f aca="false">ROUND(SUMIFS(Data!$C$2:$C$276,Data!$A$2:$A$276,$A10,Data!$B$2:$B$276,C$3),2)</f>
        <v>-10.58</v>
      </c>
      <c r="D10" s="6" t="n">
        <f aca="false">ROUND(SUMIFS(Data!$C$2:$C$276,Data!$A$2:$A$276,$A10,Data!$B$2:$B$276,D$3),2)</f>
        <v>-10.52</v>
      </c>
      <c r="E10" s="6" t="n">
        <f aca="false">ROUND(SUMIFS(Data!$C$2:$C$276,Data!$A$2:$A$276,$A10,Data!$B$2:$B$276,E$3),2)</f>
        <v>-10.55</v>
      </c>
      <c r="F10" s="6" t="n">
        <f aca="false">ROUND(SUMIFS(Data!$C$2:$C$276,Data!$A$2:$A$276,$A10,Data!$B$2:$B$276,F$3),2)</f>
        <v>-10.45</v>
      </c>
      <c r="G10" s="6" t="n">
        <f aca="false">ROUND(SUMIFS(Data!$C$2:$C$276,Data!$A$2:$A$276,$A10,Data!$B$2:$B$276,G$3),2)</f>
        <v>-10.45</v>
      </c>
      <c r="H10" s="6" t="n">
        <f aca="false">ROUND(SUMIFS(Data!$C$2:$C$276,Data!$A$2:$A$276,$A10,Data!$B$2:$B$276,H$3),2)</f>
        <v>-10.35</v>
      </c>
      <c r="I10" s="6" t="n">
        <f aca="false">ROUND(SUMIFS(Data!$C$2:$C$276,Data!$A$2:$A$276,$A10,Data!$B$2:$B$276,I$3),2)</f>
        <v>-10.36</v>
      </c>
      <c r="J10" s="6" t="n">
        <f aca="false">ROUND(SUMIFS(Data!$C$2:$C$276,Data!$A$2:$A$276,$A10,Data!$B$2:$B$276,J$3),2)</f>
        <v>-10.37</v>
      </c>
      <c r="K10" s="6" t="n">
        <f aca="false">ROUND(SUMIFS(Data!$C$2:$C$276,Data!$A$2:$A$276,$A10,Data!$B$2:$B$276,K$3),2)</f>
        <v>-10.58</v>
      </c>
      <c r="L10" s="6" t="n">
        <f aca="false">ROUND(SUMIFS(Data!$C$2:$C$276,Data!$A$2:$A$276,$A10,Data!$B$2:$B$276,L$3),2)</f>
        <v>-10.57</v>
      </c>
    </row>
    <row r="11" customFormat="false" ht="15" hidden="false" customHeight="false" outlineLevel="0" collapsed="false">
      <c r="A11" s="10" t="s">
        <v>11</v>
      </c>
      <c r="B11" s="6" t="n">
        <f aca="false">ROUND(SUMIFS(Data!$C$2:$C$276,Data!$A$2:$A$276,$A11,Data!$B$2:$B$276,B$3),2)</f>
        <v>-8.89</v>
      </c>
      <c r="C11" s="6" t="n">
        <f aca="false">ROUND(SUMIFS(Data!$C$2:$C$276,Data!$A$2:$A$276,$A11,Data!$B$2:$B$276,C$3),2)</f>
        <v>-10.23</v>
      </c>
      <c r="D11" s="6" t="n">
        <f aca="false">ROUND(SUMIFS(Data!$C$2:$C$276,Data!$A$2:$A$276,$A11,Data!$B$2:$B$276,D$3),2)</f>
        <v>-10.05</v>
      </c>
      <c r="E11" s="6" t="n">
        <f aca="false">ROUND(SUMIFS(Data!$C$2:$C$276,Data!$A$2:$A$276,$A11,Data!$B$2:$B$276,E$3),2)</f>
        <v>-9.77</v>
      </c>
      <c r="F11" s="6" t="n">
        <f aca="false">ROUND(SUMIFS(Data!$C$2:$C$276,Data!$A$2:$A$276,$A11,Data!$B$2:$B$276,F$3),2)</f>
        <v>-10.01</v>
      </c>
      <c r="G11" s="6" t="n">
        <f aca="false">ROUND(SUMIFS(Data!$C$2:$C$276,Data!$A$2:$A$276,$A11,Data!$B$2:$B$276,G$3),2)</f>
        <v>-9.82</v>
      </c>
      <c r="H11" s="6" t="n">
        <f aca="false">ROUND(SUMIFS(Data!$C$2:$C$276,Data!$A$2:$A$276,$A11,Data!$B$2:$B$276,H$3),2)</f>
        <v>-9.81</v>
      </c>
      <c r="I11" s="6" t="n">
        <f aca="false">ROUND(SUMIFS(Data!$C$2:$C$276,Data!$A$2:$A$276,$A11,Data!$B$2:$B$276,I$3),2)</f>
        <v>-9.75</v>
      </c>
      <c r="J11" s="6" t="n">
        <f aca="false">ROUND(SUMIFS(Data!$C$2:$C$276,Data!$A$2:$A$276,$A11,Data!$B$2:$B$276,J$3),2)</f>
        <v>-9.5</v>
      </c>
      <c r="K11" s="6" t="n">
        <f aca="false">ROUND(SUMIFS(Data!$C$2:$C$276,Data!$A$2:$A$276,$A11,Data!$B$2:$B$276,K$3),2)</f>
        <v>-9.91</v>
      </c>
      <c r="L11" s="6" t="n">
        <f aca="false">ROUND(SUMIFS(Data!$C$2:$C$276,Data!$A$2:$A$276,$A11,Data!$B$2:$B$276,L$3),2)</f>
        <v>-9.79</v>
      </c>
    </row>
    <row r="12" customFormat="false" ht="15" hidden="false" customHeight="false" outlineLevel="0" collapsed="false">
      <c r="A12" s="10" t="s">
        <v>12</v>
      </c>
      <c r="B12" s="6" t="n">
        <f aca="false">ROUND(SUMIFS(Data!$C$2:$C$276,Data!$A$2:$A$276,$A12,Data!$B$2:$B$276,B$3),2)</f>
        <v>-8.85</v>
      </c>
      <c r="C12" s="6" t="n">
        <f aca="false">ROUND(SUMIFS(Data!$C$2:$C$276,Data!$A$2:$A$276,$A12,Data!$B$2:$B$276,C$3),2)</f>
        <v>-10.19</v>
      </c>
      <c r="D12" s="6" t="n">
        <f aca="false">ROUND(SUMIFS(Data!$C$2:$C$276,Data!$A$2:$A$276,$A12,Data!$B$2:$B$276,D$3),2)</f>
        <v>-10.09</v>
      </c>
      <c r="E12" s="6" t="n">
        <f aca="false">ROUND(SUMIFS(Data!$C$2:$C$276,Data!$A$2:$A$276,$A12,Data!$B$2:$B$276,E$3),2)</f>
        <v>-9.86</v>
      </c>
      <c r="F12" s="6" t="n">
        <f aca="false">ROUND(SUMIFS(Data!$C$2:$C$276,Data!$A$2:$A$276,$A12,Data!$B$2:$B$276,F$3),2)</f>
        <v>-10.11</v>
      </c>
      <c r="G12" s="6" t="n">
        <f aca="false">ROUND(SUMIFS(Data!$C$2:$C$276,Data!$A$2:$A$276,$A12,Data!$B$2:$B$276,G$3),2)</f>
        <v>-10.01</v>
      </c>
      <c r="H12" s="6" t="n">
        <f aca="false">ROUND(SUMIFS(Data!$C$2:$C$276,Data!$A$2:$A$276,$A12,Data!$B$2:$B$276,H$3),2)</f>
        <v>-9.97</v>
      </c>
      <c r="I12" s="6" t="n">
        <f aca="false">ROUND(SUMIFS(Data!$C$2:$C$276,Data!$A$2:$A$276,$A12,Data!$B$2:$B$276,I$3),2)</f>
        <v>-9.86</v>
      </c>
      <c r="J12" s="6" t="n">
        <f aca="false">ROUND(SUMIFS(Data!$C$2:$C$276,Data!$A$2:$A$276,$A12,Data!$B$2:$B$276,J$3),2)</f>
        <v>-9.6</v>
      </c>
      <c r="K12" s="6" t="n">
        <f aca="false">ROUND(SUMIFS(Data!$C$2:$C$276,Data!$A$2:$A$276,$A12,Data!$B$2:$B$276,K$3),2)</f>
        <v>-10.02</v>
      </c>
      <c r="L12" s="6" t="n">
        <f aca="false">ROUND(SUMIFS(Data!$C$2:$C$276,Data!$A$2:$A$276,$A12,Data!$B$2:$B$276,L$3),2)</f>
        <v>-9.96</v>
      </c>
    </row>
    <row r="13" customFormat="false" ht="15" hidden="false" customHeight="false" outlineLevel="0" collapsed="false">
      <c r="A13" s="10" t="s">
        <v>13</v>
      </c>
      <c r="B13" s="6" t="n">
        <f aca="false">ROUND(SUMIFS(Data!$C$2:$C$276,Data!$A$2:$A$276,$A13,Data!$B$2:$B$276,B$3),2)</f>
        <v>-8.72</v>
      </c>
      <c r="C13" s="6" t="n">
        <f aca="false">ROUND(SUMIFS(Data!$C$2:$C$276,Data!$A$2:$A$276,$A13,Data!$B$2:$B$276,C$3),2)</f>
        <v>-9.81</v>
      </c>
      <c r="D13" s="6" t="n">
        <f aca="false">ROUND(SUMIFS(Data!$C$2:$C$276,Data!$A$2:$A$276,$A13,Data!$B$2:$B$276,D$3),2)</f>
        <v>-9.69</v>
      </c>
      <c r="E13" s="6" t="n">
        <f aca="false">ROUND(SUMIFS(Data!$C$2:$C$276,Data!$A$2:$A$276,$A13,Data!$B$2:$B$276,E$3),2)</f>
        <v>-9.96</v>
      </c>
      <c r="F13" s="6" t="n">
        <f aca="false">ROUND(SUMIFS(Data!$C$2:$C$276,Data!$A$2:$A$276,$A13,Data!$B$2:$B$276,F$3),2)</f>
        <v>-9.68</v>
      </c>
      <c r="G13" s="6" t="n">
        <f aca="false">ROUND(SUMIFS(Data!$C$2:$C$276,Data!$A$2:$A$276,$A13,Data!$B$2:$B$276,G$3),2)</f>
        <v>-9.82</v>
      </c>
      <c r="H13" s="6" t="n">
        <f aca="false">ROUND(SUMIFS(Data!$C$2:$C$276,Data!$A$2:$A$276,$A13,Data!$B$2:$B$276,H$3),2)</f>
        <v>-9.71</v>
      </c>
      <c r="I13" s="6" t="n">
        <f aca="false">ROUND(SUMIFS(Data!$C$2:$C$276,Data!$A$2:$A$276,$A13,Data!$B$2:$B$276,I$3),2)</f>
        <v>-9.41</v>
      </c>
      <c r="J13" s="6" t="n">
        <f aca="false">ROUND(SUMIFS(Data!$C$2:$C$276,Data!$A$2:$A$276,$A13,Data!$B$2:$B$276,J$3),2)</f>
        <v>-9.6</v>
      </c>
      <c r="K13" s="6" t="n">
        <f aca="false">ROUND(SUMIFS(Data!$C$2:$C$276,Data!$A$2:$A$276,$A13,Data!$B$2:$B$276,K$3),2)</f>
        <v>-9.79</v>
      </c>
      <c r="L13" s="6" t="n">
        <f aca="false">ROUND(SUMIFS(Data!$C$2:$C$276,Data!$A$2:$A$276,$A13,Data!$B$2:$B$276,L$3),2)</f>
        <v>-9.71</v>
      </c>
    </row>
    <row r="14" customFormat="false" ht="15" hidden="false" customHeight="false" outlineLevel="0" collapsed="false">
      <c r="A14" s="10" t="s">
        <v>14</v>
      </c>
      <c r="B14" s="6" t="n">
        <f aca="false">ROUND(SUMIFS(Data!$C$2:$C$276,Data!$A$2:$A$276,$A14,Data!$B$2:$B$276,B$3),2)</f>
        <v>-9.02</v>
      </c>
      <c r="C14" s="6" t="n">
        <f aca="false">ROUND(SUMIFS(Data!$C$2:$C$276,Data!$A$2:$A$276,$A14,Data!$B$2:$B$276,C$3),2)</f>
        <v>-9.92</v>
      </c>
      <c r="D14" s="6" t="n">
        <f aca="false">ROUND(SUMIFS(Data!$C$2:$C$276,Data!$A$2:$A$276,$A14,Data!$B$2:$B$276,D$3),2)</f>
        <v>-9.58</v>
      </c>
      <c r="E14" s="6" t="n">
        <f aca="false">ROUND(SUMIFS(Data!$C$2:$C$276,Data!$A$2:$A$276,$A14,Data!$B$2:$B$276,E$3),2)</f>
        <v>-9.78</v>
      </c>
      <c r="F14" s="6" t="n">
        <f aca="false">ROUND(SUMIFS(Data!$C$2:$C$276,Data!$A$2:$A$276,$A14,Data!$B$2:$B$276,F$3),2)</f>
        <v>-9.56</v>
      </c>
      <c r="G14" s="6" t="n">
        <f aca="false">ROUND(SUMIFS(Data!$C$2:$C$276,Data!$A$2:$A$276,$A14,Data!$B$2:$B$276,G$3),2)</f>
        <v>-9.69</v>
      </c>
      <c r="H14" s="6" t="n">
        <f aca="false">ROUND(SUMIFS(Data!$C$2:$C$276,Data!$A$2:$A$276,$A14,Data!$B$2:$B$276,H$3),2)</f>
        <v>-9.66</v>
      </c>
      <c r="I14" s="6" t="n">
        <f aca="false">ROUND(SUMIFS(Data!$C$2:$C$276,Data!$A$2:$A$276,$A14,Data!$B$2:$B$276,I$3),2)</f>
        <v>-9.39</v>
      </c>
      <c r="J14" s="6" t="n">
        <f aca="false">ROUND(SUMIFS(Data!$C$2:$C$276,Data!$A$2:$A$276,$A14,Data!$B$2:$B$276,J$3),2)</f>
        <v>-9.55</v>
      </c>
      <c r="K14" s="6" t="n">
        <f aca="false">ROUND(SUMIFS(Data!$C$2:$C$276,Data!$A$2:$A$276,$A14,Data!$B$2:$B$276,K$3),2)</f>
        <v>-9.69</v>
      </c>
      <c r="L14" s="6" t="n">
        <f aca="false">ROUND(SUMIFS(Data!$C$2:$C$276,Data!$A$2:$A$276,$A14,Data!$B$2:$B$276,L$3),2)</f>
        <v>-9.58</v>
      </c>
    </row>
    <row r="15" customFormat="false" ht="15" hidden="false" customHeight="false" outlineLevel="0" collapsed="false">
      <c r="A15" s="10" t="s">
        <v>15</v>
      </c>
      <c r="B15" s="6" t="n">
        <f aca="false">ROUND(SUMIFS(Data!$C$2:$C$276,Data!$A$2:$A$276,$A15,Data!$B$2:$B$276,B$3),2)</f>
        <v>-8.11</v>
      </c>
      <c r="C15" s="6" t="n">
        <f aca="false">ROUND(SUMIFS(Data!$C$2:$C$276,Data!$A$2:$A$276,$A15,Data!$B$2:$B$276,C$3),2)</f>
        <v>-9.4</v>
      </c>
      <c r="D15" s="6" t="n">
        <f aca="false">ROUND(SUMIFS(Data!$C$2:$C$276,Data!$A$2:$A$276,$A15,Data!$B$2:$B$276,D$3),2)</f>
        <v>-9.2</v>
      </c>
      <c r="E15" s="6" t="n">
        <f aca="false">ROUND(SUMIFS(Data!$C$2:$C$276,Data!$A$2:$A$276,$A15,Data!$B$2:$B$276,E$3),2)</f>
        <v>-9.37</v>
      </c>
      <c r="F15" s="6" t="n">
        <f aca="false">ROUND(SUMIFS(Data!$C$2:$C$276,Data!$A$2:$A$276,$A15,Data!$B$2:$B$276,F$3),2)</f>
        <v>-9.01</v>
      </c>
      <c r="G15" s="6" t="n">
        <f aca="false">ROUND(SUMIFS(Data!$C$2:$C$276,Data!$A$2:$A$276,$A15,Data!$B$2:$B$276,G$3),2)</f>
        <v>-9.25</v>
      </c>
      <c r="H15" s="6" t="n">
        <f aca="false">ROUND(SUMIFS(Data!$C$2:$C$276,Data!$A$2:$A$276,$A15,Data!$B$2:$B$276,H$3),2)</f>
        <v>-9.19</v>
      </c>
      <c r="I15" s="6" t="n">
        <f aca="false">ROUND(SUMIFS(Data!$C$2:$C$276,Data!$A$2:$A$276,$A15,Data!$B$2:$B$276,I$3),2)</f>
        <v>-8.93</v>
      </c>
      <c r="J15" s="6" t="n">
        <f aca="false">ROUND(SUMIFS(Data!$C$2:$C$276,Data!$A$2:$A$276,$A15,Data!$B$2:$B$276,J$3),2)</f>
        <v>-9.09</v>
      </c>
      <c r="K15" s="6" t="n">
        <f aca="false">ROUND(SUMIFS(Data!$C$2:$C$276,Data!$A$2:$A$276,$A15,Data!$B$2:$B$276,K$3),2)</f>
        <v>-9.18</v>
      </c>
      <c r="L15" s="6" t="n">
        <f aca="false">ROUND(SUMIFS(Data!$C$2:$C$276,Data!$A$2:$A$276,$A15,Data!$B$2:$B$276,L$3),2)</f>
        <v>-9.11</v>
      </c>
    </row>
    <row r="16" customFormat="false" ht="15" hidden="false" customHeight="false" outlineLevel="0" collapsed="false">
      <c r="A16" s="10" t="s">
        <v>16</v>
      </c>
      <c r="B16" s="6" t="n">
        <f aca="false">ROUND(SUMIFS(Data!$C$2:$C$276,Data!$A$2:$A$276,$A16,Data!$B$2:$B$276,B$3),2)</f>
        <v>-7.94</v>
      </c>
      <c r="C16" s="6" t="n">
        <f aca="false">ROUND(SUMIFS(Data!$C$2:$C$276,Data!$A$2:$A$276,$A16,Data!$B$2:$B$276,C$3),2)</f>
        <v>-9.28</v>
      </c>
      <c r="D16" s="6" t="n">
        <f aca="false">ROUND(SUMIFS(Data!$C$2:$C$276,Data!$A$2:$A$276,$A16,Data!$B$2:$B$276,D$3),2)</f>
        <v>-9.06</v>
      </c>
      <c r="E16" s="6" t="n">
        <f aca="false">ROUND(SUMIFS(Data!$C$2:$C$276,Data!$A$2:$A$276,$A16,Data!$B$2:$B$276,E$3),2)</f>
        <v>-9.19</v>
      </c>
      <c r="F16" s="6" t="n">
        <f aca="false">ROUND(SUMIFS(Data!$C$2:$C$276,Data!$A$2:$A$276,$A16,Data!$B$2:$B$276,F$3),2)</f>
        <v>-8.82</v>
      </c>
      <c r="G16" s="6" t="n">
        <f aca="false">ROUND(SUMIFS(Data!$C$2:$C$276,Data!$A$2:$A$276,$A16,Data!$B$2:$B$276,G$3),2)</f>
        <v>-9.01</v>
      </c>
      <c r="H16" s="6" t="n">
        <f aca="false">ROUND(SUMIFS(Data!$C$2:$C$276,Data!$A$2:$A$276,$A16,Data!$B$2:$B$276,H$3),2)</f>
        <v>-9.02</v>
      </c>
      <c r="I16" s="6" t="n">
        <f aca="false">ROUND(SUMIFS(Data!$C$2:$C$276,Data!$A$2:$A$276,$A16,Data!$B$2:$B$276,I$3),2)</f>
        <v>-8.76</v>
      </c>
      <c r="J16" s="6" t="n">
        <f aca="false">ROUND(SUMIFS(Data!$C$2:$C$276,Data!$A$2:$A$276,$A16,Data!$B$2:$B$276,J$3),2)</f>
        <v>-9.01</v>
      </c>
      <c r="K16" s="6" t="n">
        <f aca="false">ROUND(SUMIFS(Data!$C$2:$C$276,Data!$A$2:$A$276,$A16,Data!$B$2:$B$276,K$3),2)</f>
        <v>-9.02</v>
      </c>
      <c r="L16" s="6" t="n">
        <f aca="false">ROUND(SUMIFS(Data!$C$2:$C$276,Data!$A$2:$A$276,$A16,Data!$B$2:$B$276,L$3),2)</f>
        <v>-8.92</v>
      </c>
    </row>
    <row r="17" customFormat="false" ht="15" hidden="false" customHeight="false" outlineLevel="0" collapsed="false">
      <c r="A17" s="10" t="s">
        <v>17</v>
      </c>
      <c r="B17" s="6" t="n">
        <f aca="false">ROUND(SUMIFS(Data!$C$2:$C$276,Data!$A$2:$A$276,$A17,Data!$B$2:$B$276,B$3),2)</f>
        <v>-9.03</v>
      </c>
      <c r="C17" s="6" t="n">
        <f aca="false">ROUND(SUMIFS(Data!$C$2:$C$276,Data!$A$2:$A$276,$A17,Data!$B$2:$B$276,C$3),2)</f>
        <v>-10.06</v>
      </c>
      <c r="D17" s="6" t="n">
        <f aca="false">ROUND(SUMIFS(Data!$C$2:$C$276,Data!$A$2:$A$276,$A17,Data!$B$2:$B$276,D$3),2)</f>
        <v>-10</v>
      </c>
      <c r="E17" s="6" t="n">
        <f aca="false">ROUND(SUMIFS(Data!$C$2:$C$276,Data!$A$2:$A$276,$A17,Data!$B$2:$B$276,E$3),2)</f>
        <v>-10.28</v>
      </c>
      <c r="F17" s="6" t="n">
        <f aca="false">ROUND(SUMIFS(Data!$C$2:$C$276,Data!$A$2:$A$276,$A17,Data!$B$2:$B$276,F$3),2)</f>
        <v>-9.88</v>
      </c>
      <c r="G17" s="6" t="n">
        <f aca="false">ROUND(SUMIFS(Data!$C$2:$C$276,Data!$A$2:$A$276,$A17,Data!$B$2:$B$276,G$3),2)</f>
        <v>-10.1</v>
      </c>
      <c r="H17" s="6" t="n">
        <f aca="false">ROUND(SUMIFS(Data!$C$2:$C$276,Data!$A$2:$A$276,$A17,Data!$B$2:$B$276,H$3),2)</f>
        <v>-9.98</v>
      </c>
      <c r="I17" s="6" t="n">
        <f aca="false">ROUND(SUMIFS(Data!$C$2:$C$276,Data!$A$2:$A$276,$A17,Data!$B$2:$B$276,I$3),2)</f>
        <v>-9.61</v>
      </c>
      <c r="J17" s="6" t="n">
        <f aca="false">ROUND(SUMIFS(Data!$C$2:$C$276,Data!$A$2:$A$276,$A17,Data!$B$2:$B$276,J$3),2)</f>
        <v>-9.9</v>
      </c>
      <c r="K17" s="6" t="n">
        <f aca="false">ROUND(SUMIFS(Data!$C$2:$C$276,Data!$A$2:$A$276,$A17,Data!$B$2:$B$276,K$3),2)</f>
        <v>-10.14</v>
      </c>
      <c r="L17" s="6" t="n">
        <f aca="false">ROUND(SUMIFS(Data!$C$2:$C$276,Data!$A$2:$A$276,$A17,Data!$B$2:$B$276,L$3),2)</f>
        <v>-10.05</v>
      </c>
    </row>
    <row r="18" customFormat="false" ht="15" hidden="false" customHeight="false" outlineLevel="0" collapsed="false">
      <c r="A18" s="10" t="s">
        <v>18</v>
      </c>
      <c r="B18" s="6" t="n">
        <f aca="false">ROUND(SUMIFS(Data!$C$2:$C$276,Data!$A$2:$A$276,$A18,Data!$B$2:$B$276,B$3),2)</f>
        <v>-9.29</v>
      </c>
      <c r="C18" s="6" t="n">
        <f aca="false">ROUND(SUMIFS(Data!$C$2:$C$276,Data!$A$2:$A$276,$A18,Data!$B$2:$B$276,C$3),2)</f>
        <v>-10.54</v>
      </c>
      <c r="D18" s="6" t="n">
        <f aca="false">ROUND(SUMIFS(Data!$C$2:$C$276,Data!$A$2:$A$276,$A18,Data!$B$2:$B$276,D$3),2)</f>
        <v>-10.41</v>
      </c>
      <c r="E18" s="6" t="n">
        <f aca="false">ROUND(SUMIFS(Data!$C$2:$C$276,Data!$A$2:$A$276,$A18,Data!$B$2:$B$276,E$3),2)</f>
        <v>-10.42</v>
      </c>
      <c r="F18" s="6" t="n">
        <f aca="false">ROUND(SUMIFS(Data!$C$2:$C$276,Data!$A$2:$A$276,$A18,Data!$B$2:$B$276,F$3),2)</f>
        <v>-10.41</v>
      </c>
      <c r="G18" s="6" t="n">
        <f aca="false">ROUND(SUMIFS(Data!$C$2:$C$276,Data!$A$2:$A$276,$A18,Data!$B$2:$B$276,G$3),2)</f>
        <v>-10.27</v>
      </c>
      <c r="H18" s="6" t="n">
        <f aca="false">ROUND(SUMIFS(Data!$C$2:$C$276,Data!$A$2:$A$276,$A18,Data!$B$2:$B$276,H$3),2)</f>
        <v>-10.2</v>
      </c>
      <c r="I18" s="6" t="n">
        <f aca="false">ROUND(SUMIFS(Data!$C$2:$C$276,Data!$A$2:$A$276,$A18,Data!$B$2:$B$276,I$3),2)</f>
        <v>-10.21</v>
      </c>
      <c r="J18" s="6" t="n">
        <f aca="false">ROUND(SUMIFS(Data!$C$2:$C$276,Data!$A$2:$A$276,$A18,Data!$B$2:$B$276,J$3),2)</f>
        <v>-10.15</v>
      </c>
      <c r="K18" s="6" t="n">
        <f aca="false">ROUND(SUMIFS(Data!$C$2:$C$276,Data!$A$2:$A$276,$A18,Data!$B$2:$B$276,K$3),2)</f>
        <v>-10.33</v>
      </c>
      <c r="L18" s="6" t="n">
        <f aca="false">ROUND(SUMIFS(Data!$C$2:$C$276,Data!$A$2:$A$276,$A18,Data!$B$2:$B$276,L$3),2)</f>
        <v>-10.38</v>
      </c>
    </row>
    <row r="19" customFormat="false" ht="15" hidden="false" customHeight="false" outlineLevel="0" collapsed="false">
      <c r="A19" s="10" t="s">
        <v>19</v>
      </c>
      <c r="B19" s="6" t="n">
        <f aca="false">ROUND(SUMIFS(Data!$C$2:$C$276,Data!$A$2:$A$276,$A19,Data!$B$2:$B$276,B$3),2)</f>
        <v>-9.32</v>
      </c>
      <c r="C19" s="6" t="n">
        <f aca="false">ROUND(SUMIFS(Data!$C$2:$C$276,Data!$A$2:$A$276,$A19,Data!$B$2:$B$276,C$3),2)</f>
        <v>-10.59</v>
      </c>
      <c r="D19" s="6" t="n">
        <f aca="false">ROUND(SUMIFS(Data!$C$2:$C$276,Data!$A$2:$A$276,$A19,Data!$B$2:$B$276,D$3),2)</f>
        <v>-10.32</v>
      </c>
      <c r="E19" s="6" t="n">
        <f aca="false">ROUND(SUMIFS(Data!$C$2:$C$276,Data!$A$2:$A$276,$A19,Data!$B$2:$B$276,E$3),2)</f>
        <v>-10.37</v>
      </c>
      <c r="F19" s="6" t="n">
        <f aca="false">ROUND(SUMIFS(Data!$C$2:$C$276,Data!$A$2:$A$276,$A19,Data!$B$2:$B$276,F$3),2)</f>
        <v>-10.26</v>
      </c>
      <c r="G19" s="6" t="n">
        <f aca="false">ROUND(SUMIFS(Data!$C$2:$C$276,Data!$A$2:$A$276,$A19,Data!$B$2:$B$276,G$3),2)</f>
        <v>-10.19</v>
      </c>
      <c r="H19" s="6" t="n">
        <f aca="false">ROUND(SUMIFS(Data!$C$2:$C$276,Data!$A$2:$A$276,$A19,Data!$B$2:$B$276,H$3),2)</f>
        <v>-10.13</v>
      </c>
      <c r="I19" s="6" t="n">
        <f aca="false">ROUND(SUMIFS(Data!$C$2:$C$276,Data!$A$2:$A$276,$A19,Data!$B$2:$B$276,I$3),2)</f>
        <v>-10.08</v>
      </c>
      <c r="J19" s="6" t="n">
        <f aca="false">ROUND(SUMIFS(Data!$C$2:$C$276,Data!$A$2:$A$276,$A19,Data!$B$2:$B$276,J$3),2)</f>
        <v>-10.13</v>
      </c>
      <c r="K19" s="6" t="n">
        <f aca="false">ROUND(SUMIFS(Data!$C$2:$C$276,Data!$A$2:$A$276,$A19,Data!$B$2:$B$276,K$3),2)</f>
        <v>-10.53</v>
      </c>
      <c r="L19" s="6" t="n">
        <f aca="false">ROUND(SUMIFS(Data!$C$2:$C$276,Data!$A$2:$A$276,$A19,Data!$B$2:$B$276,L$3),2)</f>
        <v>-10.52</v>
      </c>
    </row>
    <row r="20" customFormat="false" ht="15" hidden="false" customHeight="false" outlineLevel="0" collapsed="false">
      <c r="A20" s="10" t="s">
        <v>20</v>
      </c>
      <c r="B20" s="6" t="n">
        <f aca="false">ROUND(SUMIFS(Data!$C$2:$C$276,Data!$A$2:$A$276,$A20,Data!$B$2:$B$276,B$3),2)</f>
        <v>-9.17</v>
      </c>
      <c r="C20" s="6" t="n">
        <f aca="false">ROUND(SUMIFS(Data!$C$2:$C$276,Data!$A$2:$A$276,$A20,Data!$B$2:$B$276,C$3),2)</f>
        <v>-10.2</v>
      </c>
      <c r="D20" s="6" t="n">
        <f aca="false">ROUND(SUMIFS(Data!$C$2:$C$276,Data!$A$2:$A$276,$A20,Data!$B$2:$B$276,D$3),2)</f>
        <v>-9.97</v>
      </c>
      <c r="E20" s="6" t="n">
        <f aca="false">ROUND(SUMIFS(Data!$C$2:$C$276,Data!$A$2:$A$276,$A20,Data!$B$2:$B$276,E$3),2)</f>
        <v>-9.77</v>
      </c>
      <c r="F20" s="6" t="n">
        <f aca="false">ROUND(SUMIFS(Data!$C$2:$C$276,Data!$A$2:$A$276,$A20,Data!$B$2:$B$276,F$3),2)</f>
        <v>-9.9</v>
      </c>
      <c r="G20" s="6" t="n">
        <f aca="false">ROUND(SUMIFS(Data!$C$2:$C$276,Data!$A$2:$A$276,$A20,Data!$B$2:$B$276,G$3),2)</f>
        <v>-9.81</v>
      </c>
      <c r="H20" s="6" t="n">
        <f aca="false">ROUND(SUMIFS(Data!$C$2:$C$276,Data!$A$2:$A$276,$A20,Data!$B$2:$B$276,H$3),2)</f>
        <v>-9.79</v>
      </c>
      <c r="I20" s="6" t="n">
        <f aca="false">ROUND(SUMIFS(Data!$C$2:$C$276,Data!$A$2:$A$276,$A20,Data!$B$2:$B$276,I$3),2)</f>
        <v>-9.67</v>
      </c>
      <c r="J20" s="6" t="n">
        <f aca="false">ROUND(SUMIFS(Data!$C$2:$C$276,Data!$A$2:$A$276,$A20,Data!$B$2:$B$276,J$3),2)</f>
        <v>-9.57</v>
      </c>
      <c r="K20" s="6" t="n">
        <f aca="false">ROUND(SUMIFS(Data!$C$2:$C$276,Data!$A$2:$A$276,$A20,Data!$B$2:$B$276,K$3),2)</f>
        <v>-9.86</v>
      </c>
      <c r="L20" s="6" t="n">
        <f aca="false">ROUND(SUMIFS(Data!$C$2:$C$276,Data!$A$2:$A$276,$A20,Data!$B$2:$B$276,L$3),2)</f>
        <v>-9.79</v>
      </c>
    </row>
    <row r="21" customFormat="false" ht="15" hidden="false" customHeight="false" outlineLevel="0" collapsed="false">
      <c r="A21" s="10" t="s">
        <v>21</v>
      </c>
      <c r="B21" s="6" t="n">
        <f aca="false">ROUND(SUMIFS(Data!$C$2:$C$276,Data!$A$2:$A$276,$A21,Data!$B$2:$B$276,B$3),2)</f>
        <v>-9.1</v>
      </c>
      <c r="C21" s="6" t="n">
        <f aca="false">ROUND(SUMIFS(Data!$C$2:$C$276,Data!$A$2:$A$276,$A21,Data!$B$2:$B$276,C$3),2)</f>
        <v>-10.21</v>
      </c>
      <c r="D21" s="6" t="n">
        <f aca="false">ROUND(SUMIFS(Data!$C$2:$C$276,Data!$A$2:$A$276,$A21,Data!$B$2:$B$276,D$3),2)</f>
        <v>-10.1</v>
      </c>
      <c r="E21" s="6" t="n">
        <f aca="false">ROUND(SUMIFS(Data!$C$2:$C$276,Data!$A$2:$A$276,$A21,Data!$B$2:$B$276,E$3),2)</f>
        <v>-10.04</v>
      </c>
      <c r="F21" s="6" t="n">
        <f aca="false">ROUND(SUMIFS(Data!$C$2:$C$276,Data!$A$2:$A$276,$A21,Data!$B$2:$B$276,F$3),2)</f>
        <v>-10.15</v>
      </c>
      <c r="G21" s="6" t="n">
        <f aca="false">ROUND(SUMIFS(Data!$C$2:$C$276,Data!$A$2:$A$276,$A21,Data!$B$2:$B$276,G$3),2)</f>
        <v>-9.89</v>
      </c>
      <c r="H21" s="6" t="n">
        <f aca="false">ROUND(SUMIFS(Data!$C$2:$C$276,Data!$A$2:$A$276,$A21,Data!$B$2:$B$276,H$3),2)</f>
        <v>-9.88</v>
      </c>
      <c r="I21" s="6" t="n">
        <f aca="false">ROUND(SUMIFS(Data!$C$2:$C$276,Data!$A$2:$A$276,$A21,Data!$B$2:$B$276,I$3),2)</f>
        <v>-10.05</v>
      </c>
      <c r="J21" s="6" t="n">
        <f aca="false">ROUND(SUMIFS(Data!$C$2:$C$276,Data!$A$2:$A$276,$A21,Data!$B$2:$B$276,J$3),2)</f>
        <v>-9.92</v>
      </c>
      <c r="K21" s="6" t="n">
        <f aca="false">ROUND(SUMIFS(Data!$C$2:$C$276,Data!$A$2:$A$276,$A21,Data!$B$2:$B$276,K$3),2)</f>
        <v>-10.09</v>
      </c>
      <c r="L21" s="6" t="n">
        <f aca="false">ROUND(SUMIFS(Data!$C$2:$C$276,Data!$A$2:$A$276,$A21,Data!$B$2:$B$276,L$3),2)</f>
        <v>-10.13</v>
      </c>
    </row>
    <row r="22" customFormat="false" ht="15" hidden="false" customHeight="false" outlineLevel="0" collapsed="false">
      <c r="A22" s="10" t="s">
        <v>22</v>
      </c>
      <c r="B22" s="6" t="n">
        <f aca="false">ROUND(SUMIFS(Data!$C$2:$C$276,Data!$A$2:$A$276,$A22,Data!$B$2:$B$276,B$3),2)</f>
        <v>-9.42</v>
      </c>
      <c r="C22" s="6" t="n">
        <f aca="false">ROUND(SUMIFS(Data!$C$2:$C$276,Data!$A$2:$A$276,$A22,Data!$B$2:$B$276,C$3),2)</f>
        <v>-10.69</v>
      </c>
      <c r="D22" s="6" t="n">
        <f aca="false">ROUND(SUMIFS(Data!$C$2:$C$276,Data!$A$2:$A$276,$A22,Data!$B$2:$B$276,D$3),2)</f>
        <v>-10.54</v>
      </c>
      <c r="E22" s="6" t="n">
        <f aca="false">ROUND(SUMIFS(Data!$C$2:$C$276,Data!$A$2:$A$276,$A22,Data!$B$2:$B$276,E$3),2)</f>
        <v>-10.74</v>
      </c>
      <c r="F22" s="6" t="n">
        <f aca="false">ROUND(SUMIFS(Data!$C$2:$C$276,Data!$A$2:$A$276,$A22,Data!$B$2:$B$276,F$3),2)</f>
        <v>-10.69</v>
      </c>
      <c r="G22" s="6" t="n">
        <f aca="false">ROUND(SUMIFS(Data!$C$2:$C$276,Data!$A$2:$A$276,$A22,Data!$B$2:$B$276,G$3),2)</f>
        <v>-10.6</v>
      </c>
      <c r="H22" s="6" t="n">
        <f aca="false">ROUND(SUMIFS(Data!$C$2:$C$276,Data!$A$2:$A$276,$A22,Data!$B$2:$B$276,H$3),2)</f>
        <v>-10.53</v>
      </c>
      <c r="I22" s="6" t="n">
        <f aca="false">ROUND(SUMIFS(Data!$C$2:$C$276,Data!$A$2:$A$276,$A22,Data!$B$2:$B$276,I$3),2)</f>
        <v>-10.48</v>
      </c>
      <c r="J22" s="6" t="n">
        <f aca="false">ROUND(SUMIFS(Data!$C$2:$C$276,Data!$A$2:$A$276,$A22,Data!$B$2:$B$276,J$3),2)</f>
        <v>-10.44</v>
      </c>
      <c r="K22" s="6" t="n">
        <f aca="false">ROUND(SUMIFS(Data!$C$2:$C$276,Data!$A$2:$A$276,$A22,Data!$B$2:$B$276,K$3),2)</f>
        <v>-10.68</v>
      </c>
      <c r="L22" s="6" t="n">
        <f aca="false">ROUND(SUMIFS(Data!$C$2:$C$276,Data!$A$2:$A$276,$A22,Data!$B$2:$B$276,L$3),2)</f>
        <v>-10.65</v>
      </c>
    </row>
    <row r="23" customFormat="false" ht="15" hidden="false" customHeight="false" outlineLevel="0" collapsed="false">
      <c r="A23" s="10" t="s">
        <v>23</v>
      </c>
      <c r="B23" s="6" t="n">
        <f aca="false">ROUND(SUMIFS(Data!$C$2:$C$276,Data!$A$2:$A$276,$A23,Data!$B$2:$B$276,B$3),2)</f>
        <v>-8.82</v>
      </c>
      <c r="C23" s="6" t="n">
        <f aca="false">ROUND(SUMIFS(Data!$C$2:$C$276,Data!$A$2:$A$276,$A23,Data!$B$2:$B$276,C$3),2)</f>
        <v>-10.1</v>
      </c>
      <c r="D23" s="6" t="n">
        <f aca="false">ROUND(SUMIFS(Data!$C$2:$C$276,Data!$A$2:$A$276,$A23,Data!$B$2:$B$276,D$3),2)</f>
        <v>-9.91</v>
      </c>
      <c r="E23" s="6" t="n">
        <f aca="false">ROUND(SUMIFS(Data!$C$2:$C$276,Data!$A$2:$A$276,$A23,Data!$B$2:$B$276,E$3),2)</f>
        <v>-9.72</v>
      </c>
      <c r="F23" s="6" t="n">
        <f aca="false">ROUND(SUMIFS(Data!$C$2:$C$276,Data!$A$2:$A$276,$A23,Data!$B$2:$B$276,F$3),2)</f>
        <v>-9.82</v>
      </c>
      <c r="G23" s="6" t="n">
        <f aca="false">ROUND(SUMIFS(Data!$C$2:$C$276,Data!$A$2:$A$276,$A23,Data!$B$2:$B$276,G$3),2)</f>
        <v>-9.74</v>
      </c>
      <c r="H23" s="6" t="n">
        <f aca="false">ROUND(SUMIFS(Data!$C$2:$C$276,Data!$A$2:$A$276,$A23,Data!$B$2:$B$276,H$3),2)</f>
        <v>-9.68</v>
      </c>
      <c r="I23" s="6" t="n">
        <f aca="false">ROUND(SUMIFS(Data!$C$2:$C$276,Data!$A$2:$A$276,$A23,Data!$B$2:$B$276,I$3),2)</f>
        <v>-9.63</v>
      </c>
      <c r="J23" s="6" t="n">
        <f aca="false">ROUND(SUMIFS(Data!$C$2:$C$276,Data!$A$2:$A$276,$A23,Data!$B$2:$B$276,J$3),2)</f>
        <v>-9.41</v>
      </c>
      <c r="K23" s="6" t="n">
        <f aca="false">ROUND(SUMIFS(Data!$C$2:$C$276,Data!$A$2:$A$276,$A23,Data!$B$2:$B$276,K$3),2)</f>
        <v>-9.77</v>
      </c>
      <c r="L23" s="6" t="n">
        <f aca="false">ROUND(SUMIFS(Data!$C$2:$C$276,Data!$A$2:$A$276,$A23,Data!$B$2:$B$276,L$3),2)</f>
        <v>-9.66</v>
      </c>
    </row>
    <row r="24" customFormat="false" ht="15" hidden="false" customHeight="false" outlineLevel="0" collapsed="false">
      <c r="A24" s="10" t="s">
        <v>24</v>
      </c>
      <c r="B24" s="6" t="n">
        <f aca="false">ROUND(SUMIFS(Data!$C$2:$C$276,Data!$A$2:$A$276,$A24,Data!$B$2:$B$276,B$3),2)</f>
        <v>-8.96</v>
      </c>
      <c r="C24" s="6" t="n">
        <f aca="false">ROUND(SUMIFS(Data!$C$2:$C$276,Data!$A$2:$A$276,$A24,Data!$B$2:$B$276,C$3),2)</f>
        <v>-10.14</v>
      </c>
      <c r="D24" s="6" t="n">
        <f aca="false">ROUND(SUMIFS(Data!$C$2:$C$276,Data!$A$2:$A$276,$A24,Data!$B$2:$B$276,D$3),2)</f>
        <v>-9.92</v>
      </c>
      <c r="E24" s="6" t="n">
        <f aca="false">ROUND(SUMIFS(Data!$C$2:$C$276,Data!$A$2:$A$276,$A24,Data!$B$2:$B$276,E$3),2)</f>
        <v>-9.9</v>
      </c>
      <c r="F24" s="6" t="n">
        <f aca="false">ROUND(SUMIFS(Data!$C$2:$C$276,Data!$A$2:$A$276,$A24,Data!$B$2:$B$276,F$3),2)</f>
        <v>-10.01</v>
      </c>
      <c r="G24" s="6" t="n">
        <f aca="false">ROUND(SUMIFS(Data!$C$2:$C$276,Data!$A$2:$A$276,$A24,Data!$B$2:$B$276,G$3),2)</f>
        <v>-9.86</v>
      </c>
      <c r="H24" s="6" t="n">
        <f aca="false">ROUND(SUMIFS(Data!$C$2:$C$276,Data!$A$2:$A$276,$A24,Data!$B$2:$B$276,H$3),2)</f>
        <v>-9.76</v>
      </c>
      <c r="I24" s="6" t="n">
        <f aca="false">ROUND(SUMIFS(Data!$C$2:$C$276,Data!$A$2:$A$276,$A24,Data!$B$2:$B$276,I$3),2)</f>
        <v>-9.82</v>
      </c>
      <c r="J24" s="6" t="n">
        <f aca="false">ROUND(SUMIFS(Data!$C$2:$C$276,Data!$A$2:$A$276,$A24,Data!$B$2:$B$276,J$3),2)</f>
        <v>-9.83</v>
      </c>
      <c r="K24" s="6" t="n">
        <f aca="false">ROUND(SUMIFS(Data!$C$2:$C$276,Data!$A$2:$A$276,$A24,Data!$B$2:$B$276,K$3),2)</f>
        <v>-9.82</v>
      </c>
      <c r="L24" s="6" t="n">
        <f aca="false">ROUND(SUMIFS(Data!$C$2:$C$276,Data!$A$2:$A$276,$A24,Data!$B$2:$B$276,L$3),2)</f>
        <v>-9.93</v>
      </c>
    </row>
    <row r="25" customFormat="false" ht="15" hidden="false" customHeight="false" outlineLevel="0" collapsed="false">
      <c r="A25" s="10" t="s">
        <v>25</v>
      </c>
      <c r="B25" s="6" t="n">
        <f aca="false">ROUND(SUMIFS(Data!$C$2:$C$276,Data!$A$2:$A$276,$A25,Data!$B$2:$B$276,B$3),2)</f>
        <v>-7.86</v>
      </c>
      <c r="C25" s="6" t="n">
        <f aca="false">ROUND(SUMIFS(Data!$C$2:$C$276,Data!$A$2:$A$276,$A25,Data!$B$2:$B$276,C$3),2)</f>
        <v>-9.7</v>
      </c>
      <c r="D25" s="6" t="n">
        <f aca="false">ROUND(SUMIFS(Data!$C$2:$C$276,Data!$A$2:$A$276,$A25,Data!$B$2:$B$276,D$3),2)</f>
        <v>-9.2</v>
      </c>
      <c r="E25" s="6" t="n">
        <f aca="false">ROUND(SUMIFS(Data!$C$2:$C$276,Data!$A$2:$A$276,$A25,Data!$B$2:$B$276,E$3),2)</f>
        <v>-9.31</v>
      </c>
      <c r="F25" s="6" t="n">
        <f aca="false">ROUND(SUMIFS(Data!$C$2:$C$276,Data!$A$2:$A$276,$A25,Data!$B$2:$B$276,F$3),2)</f>
        <v>-9.02</v>
      </c>
      <c r="G25" s="6" t="n">
        <f aca="false">ROUND(SUMIFS(Data!$C$2:$C$276,Data!$A$2:$A$276,$A25,Data!$B$2:$B$276,G$3),2)</f>
        <v>-9.18</v>
      </c>
      <c r="H25" s="6" t="n">
        <f aca="false">ROUND(SUMIFS(Data!$C$2:$C$276,Data!$A$2:$A$276,$A25,Data!$B$2:$B$276,H$3),2)</f>
        <v>-9.41</v>
      </c>
      <c r="I25" s="6" t="n">
        <f aca="false">ROUND(SUMIFS(Data!$C$2:$C$276,Data!$A$2:$A$276,$A25,Data!$B$2:$B$276,I$3),2)</f>
        <v>-8.89</v>
      </c>
      <c r="J25" s="6" t="n">
        <f aca="false">ROUND(SUMIFS(Data!$C$2:$C$276,Data!$A$2:$A$276,$A25,Data!$B$2:$B$276,J$3),2)</f>
        <v>-9.32</v>
      </c>
      <c r="K25" s="6" t="n">
        <f aca="false">ROUND(SUMIFS(Data!$C$2:$C$276,Data!$A$2:$A$276,$A25,Data!$B$2:$B$276,K$3),2)</f>
        <v>-9.2</v>
      </c>
      <c r="L25" s="6" t="n">
        <f aca="false">ROUND(SUMIFS(Data!$C$2:$C$276,Data!$A$2:$A$276,$A25,Data!$B$2:$B$276,L$3),2)</f>
        <v>-9.12</v>
      </c>
    </row>
    <row r="26" customFormat="false" ht="15" hidden="false" customHeight="false" outlineLevel="0" collapsed="false">
      <c r="A26" s="10" t="s">
        <v>26</v>
      </c>
      <c r="B26" s="6" t="n">
        <f aca="false">ROUND(SUMIFS(Data!$C$2:$C$276,Data!$A$2:$A$276,$A26,Data!$B$2:$B$276,B$3),2)</f>
        <v>-8.64</v>
      </c>
      <c r="C26" s="6" t="n">
        <f aca="false">ROUND(SUMIFS(Data!$C$2:$C$276,Data!$A$2:$A$276,$A26,Data!$B$2:$B$276,C$3),2)</f>
        <v>-10.01</v>
      </c>
      <c r="D26" s="6" t="n">
        <f aca="false">ROUND(SUMIFS(Data!$C$2:$C$276,Data!$A$2:$A$276,$A26,Data!$B$2:$B$276,D$3),2)</f>
        <v>-9.87</v>
      </c>
      <c r="E26" s="6" t="n">
        <f aca="false">ROUND(SUMIFS(Data!$C$2:$C$276,Data!$A$2:$A$276,$A26,Data!$B$2:$B$276,E$3),2)</f>
        <v>-9.73</v>
      </c>
      <c r="F26" s="6" t="n">
        <f aca="false">ROUND(SUMIFS(Data!$C$2:$C$276,Data!$A$2:$A$276,$A26,Data!$B$2:$B$276,F$3),2)</f>
        <v>-9.82</v>
      </c>
      <c r="G26" s="6" t="n">
        <f aca="false">ROUND(SUMIFS(Data!$C$2:$C$276,Data!$A$2:$A$276,$A26,Data!$B$2:$B$276,G$3),2)</f>
        <v>-9.83</v>
      </c>
      <c r="H26" s="6" t="n">
        <f aca="false">ROUND(SUMIFS(Data!$C$2:$C$276,Data!$A$2:$A$276,$A26,Data!$B$2:$B$276,H$3),2)</f>
        <v>-9.81</v>
      </c>
      <c r="I26" s="6" t="n">
        <f aca="false">ROUND(SUMIFS(Data!$C$2:$C$276,Data!$A$2:$A$276,$A26,Data!$B$2:$B$276,I$3),2)</f>
        <v>-9.63</v>
      </c>
      <c r="J26" s="6" t="n">
        <f aca="false">ROUND(SUMIFS(Data!$C$2:$C$276,Data!$A$2:$A$276,$A26,Data!$B$2:$B$276,J$3),2)</f>
        <v>-9.51</v>
      </c>
      <c r="K26" s="6" t="n">
        <f aca="false">ROUND(SUMIFS(Data!$C$2:$C$276,Data!$A$2:$A$276,$A26,Data!$B$2:$B$276,K$3),2)</f>
        <v>-9.83</v>
      </c>
      <c r="L26" s="6" t="n">
        <f aca="false">ROUND(SUMIFS(Data!$C$2:$C$276,Data!$A$2:$A$276,$A26,Data!$B$2:$B$276,L$3),2)</f>
        <v>-9.74</v>
      </c>
    </row>
    <row r="27" customFormat="false" ht="15" hidden="false" customHeight="false" outlineLevel="0" collapsed="false">
      <c r="A27" s="10" t="s">
        <v>27</v>
      </c>
      <c r="B27" s="6" t="n">
        <f aca="false">ROUND(SUMIFS(Data!$C$2:$C$276,Data!$A$2:$A$276,$A27,Data!$B$2:$B$276,B$3),2)</f>
        <v>-9.68</v>
      </c>
      <c r="C27" s="6" t="n">
        <f aca="false">ROUND(SUMIFS(Data!$C$2:$C$276,Data!$A$2:$A$276,$A27,Data!$B$2:$B$276,C$3),2)</f>
        <v>-10.81</v>
      </c>
      <c r="D27" s="6" t="n">
        <f aca="false">ROUND(SUMIFS(Data!$C$2:$C$276,Data!$A$2:$A$276,$A27,Data!$B$2:$B$276,D$3),2)</f>
        <v>-10.73</v>
      </c>
      <c r="E27" s="6" t="n">
        <f aca="false">ROUND(SUMIFS(Data!$C$2:$C$276,Data!$A$2:$A$276,$A27,Data!$B$2:$B$276,E$3),2)</f>
        <v>-10.7</v>
      </c>
      <c r="F27" s="6" t="n">
        <f aca="false">ROUND(SUMIFS(Data!$C$2:$C$276,Data!$A$2:$A$276,$A27,Data!$B$2:$B$276,F$3),2)</f>
        <v>-10.76</v>
      </c>
      <c r="G27" s="6" t="n">
        <f aca="false">ROUND(SUMIFS(Data!$C$2:$C$276,Data!$A$2:$A$276,$A27,Data!$B$2:$B$276,G$3),2)</f>
        <v>-10.5</v>
      </c>
      <c r="H27" s="6" t="n">
        <f aca="false">ROUND(SUMIFS(Data!$C$2:$C$276,Data!$A$2:$A$276,$A27,Data!$B$2:$B$276,H$3),2)</f>
        <v>-10.53</v>
      </c>
      <c r="I27" s="6" t="n">
        <f aca="false">ROUND(SUMIFS(Data!$C$2:$C$276,Data!$A$2:$A$276,$A27,Data!$B$2:$B$276,I$3),2)</f>
        <v>-10.69</v>
      </c>
      <c r="J27" s="6" t="n">
        <f aca="false">ROUND(SUMIFS(Data!$C$2:$C$276,Data!$A$2:$A$276,$A27,Data!$B$2:$B$276,J$3),2)</f>
        <v>-10.65</v>
      </c>
      <c r="K27" s="6" t="n">
        <f aca="false">ROUND(SUMIFS(Data!$C$2:$C$276,Data!$A$2:$A$276,$A27,Data!$B$2:$B$276,K$3),2)</f>
        <v>-10.81</v>
      </c>
      <c r="L27" s="6" t="n">
        <f aca="false">ROUND(SUMIFS(Data!$C$2:$C$276,Data!$A$2:$A$276,$A27,Data!$B$2:$B$276,L$3),2)</f>
        <v>-10.79</v>
      </c>
    </row>
    <row r="28" customFormat="false" ht="15" hidden="false" customHeight="false" outlineLevel="0" collapsed="false">
      <c r="A28" s="10" t="s">
        <v>28</v>
      </c>
      <c r="B28" s="6" t="n">
        <f aca="false">ROUND(SUMIFS(Data!$C$2:$C$276,Data!$A$2:$A$276,$A28,Data!$B$2:$B$276,B$3),2)</f>
        <v>-9.59</v>
      </c>
      <c r="C28" s="6" t="n">
        <f aca="false">ROUND(SUMIFS(Data!$C$2:$C$276,Data!$A$2:$A$276,$A28,Data!$B$2:$B$276,C$3),2)</f>
        <v>-10.49</v>
      </c>
      <c r="D28" s="6" t="n">
        <f aca="false">ROUND(SUMIFS(Data!$C$2:$C$276,Data!$A$2:$A$276,$A28,Data!$B$2:$B$276,D$3),2)</f>
        <v>-10.33</v>
      </c>
      <c r="E28" s="6" t="n">
        <f aca="false">ROUND(SUMIFS(Data!$C$2:$C$276,Data!$A$2:$A$276,$A28,Data!$B$2:$B$276,E$3),2)</f>
        <v>-10.1</v>
      </c>
      <c r="F28" s="6" t="n">
        <f aca="false">ROUND(SUMIFS(Data!$C$2:$C$276,Data!$A$2:$A$276,$A28,Data!$B$2:$B$276,F$3),2)</f>
        <v>-10.31</v>
      </c>
      <c r="G28" s="6" t="n">
        <f aca="false">ROUND(SUMIFS(Data!$C$2:$C$276,Data!$A$2:$A$276,$A28,Data!$B$2:$B$276,G$3),2)</f>
        <v>-10.1</v>
      </c>
      <c r="H28" s="6" t="n">
        <f aca="false">ROUND(SUMIFS(Data!$C$2:$C$276,Data!$A$2:$A$276,$A28,Data!$B$2:$B$276,H$3),2)</f>
        <v>-10.12</v>
      </c>
      <c r="I28" s="6" t="n">
        <f aca="false">ROUND(SUMIFS(Data!$C$2:$C$276,Data!$A$2:$A$276,$A28,Data!$B$2:$B$276,I$3),2)</f>
        <v>-10.05</v>
      </c>
      <c r="J28" s="6" t="n">
        <f aca="false">ROUND(SUMIFS(Data!$C$2:$C$276,Data!$A$2:$A$276,$A28,Data!$B$2:$B$276,J$3),2)</f>
        <v>-9.86</v>
      </c>
      <c r="K28" s="6" t="n">
        <f aca="false">ROUND(SUMIFS(Data!$C$2:$C$276,Data!$A$2:$A$276,$A28,Data!$B$2:$B$276,K$3),2)</f>
        <v>-10.27</v>
      </c>
      <c r="L28" s="6" t="n">
        <f aca="false">ROUND(SUMIFS(Data!$C$2:$C$276,Data!$A$2:$A$276,$A28,Data!$B$2:$B$276,L$3),2)</f>
        <v>-10.17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12" min="2" style="0" width="9"/>
  </cols>
  <sheetData>
    <row r="1" customFormat="false" ht="17.35" hidden="false" customHeight="false" outlineLevel="0" collapsed="false">
      <c r="A1" s="3" t="s">
        <v>39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3" customFormat="false" ht="15" hidden="false" customHeight="false" outlineLevel="0" collapsed="false">
      <c r="A3" s="11" t="s">
        <v>38</v>
      </c>
      <c r="B3" s="12" t="n">
        <v>2015</v>
      </c>
      <c r="C3" s="12" t="n">
        <v>2016</v>
      </c>
      <c r="D3" s="12" t="n">
        <v>2017</v>
      </c>
      <c r="E3" s="12" t="n">
        <v>2018</v>
      </c>
      <c r="F3" s="12" t="n">
        <v>2019</v>
      </c>
      <c r="G3" s="12" t="n">
        <v>2020</v>
      </c>
      <c r="H3" s="12" t="n">
        <v>2021</v>
      </c>
      <c r="I3" s="12" t="n">
        <v>2022</v>
      </c>
      <c r="J3" s="12" t="n">
        <v>2023</v>
      </c>
      <c r="K3" s="12" t="n">
        <v>2024</v>
      </c>
      <c r="L3" s="12" t="n">
        <v>2025</v>
      </c>
    </row>
    <row r="4" customFormat="false" ht="15" hidden="false" customHeight="false" outlineLevel="0" collapsed="false">
      <c r="A4" s="10" t="s">
        <v>4</v>
      </c>
      <c r="B4" s="6" t="n">
        <f aca="false">ROUND(SUMIFS(Data!$D$2:$D$276,Data!$A$2:$A$276,$A4,Data!$B$2:$B$276,B$3),2)</f>
        <v>-14.86</v>
      </c>
      <c r="C4" s="6" t="n">
        <f aca="false">ROUND(SUMIFS(Data!$D$2:$D$276,Data!$A$2:$A$276,$A4,Data!$B$2:$B$276,C$3),2)</f>
        <v>-15.61</v>
      </c>
      <c r="D4" s="6" t="n">
        <f aca="false">ROUND(SUMIFS(Data!$D$2:$D$276,Data!$A$2:$A$276,$A4,Data!$B$2:$B$276,D$3),2)</f>
        <v>-15.51</v>
      </c>
      <c r="E4" s="6" t="n">
        <f aca="false">ROUND(SUMIFS(Data!$D$2:$D$276,Data!$A$2:$A$276,$A4,Data!$B$2:$B$276,E$3),2)</f>
        <v>-15.74</v>
      </c>
      <c r="F4" s="6" t="n">
        <f aca="false">ROUND(SUMIFS(Data!$D$2:$D$276,Data!$A$2:$A$276,$A4,Data!$B$2:$B$276,F$3),2)</f>
        <v>-15.72</v>
      </c>
      <c r="G4" s="6" t="n">
        <f aca="false">ROUND(SUMIFS(Data!$D$2:$D$276,Data!$A$2:$A$276,$A4,Data!$B$2:$B$276,G$3),2)</f>
        <v>-15.69</v>
      </c>
      <c r="H4" s="6" t="n">
        <f aca="false">ROUND(SUMIFS(Data!$D$2:$D$276,Data!$A$2:$A$276,$A4,Data!$B$2:$B$276,H$3),2)</f>
        <v>-15.6</v>
      </c>
      <c r="I4" s="6" t="n">
        <f aca="false">ROUND(SUMIFS(Data!$D$2:$D$276,Data!$A$2:$A$276,$A4,Data!$B$2:$B$276,I$3),2)</f>
        <v>-15.4</v>
      </c>
      <c r="J4" s="6" t="n">
        <f aca="false">ROUND(SUMIFS(Data!$D$2:$D$276,Data!$A$2:$A$276,$A4,Data!$B$2:$B$276,J$3),2)</f>
        <v>-15.53</v>
      </c>
      <c r="K4" s="6" t="n">
        <f aca="false">ROUND(SUMIFS(Data!$D$2:$D$276,Data!$A$2:$A$276,$A4,Data!$B$2:$B$276,K$3),2)</f>
        <v>-15.72</v>
      </c>
      <c r="L4" s="6" t="n">
        <f aca="false">ROUND(SUMIFS(Data!$D$2:$D$276,Data!$A$2:$A$276,$A4,Data!$B$2:$B$276,L$3),2)</f>
        <v>-15.63</v>
      </c>
    </row>
    <row r="5" customFormat="false" ht="15" hidden="false" customHeight="false" outlineLevel="0" collapsed="false">
      <c r="A5" s="10" t="s">
        <v>5</v>
      </c>
      <c r="B5" s="6" t="n">
        <f aca="false">ROUND(SUMIFS(Data!$D$2:$D$276,Data!$A$2:$A$276,$A5,Data!$B$2:$B$276,B$3),2)</f>
        <v>-15.16</v>
      </c>
      <c r="C5" s="6" t="n">
        <f aca="false">ROUND(SUMIFS(Data!$D$2:$D$276,Data!$A$2:$A$276,$A5,Data!$B$2:$B$276,C$3),2)</f>
        <v>-15.96</v>
      </c>
      <c r="D5" s="6" t="n">
        <f aca="false">ROUND(SUMIFS(Data!$D$2:$D$276,Data!$A$2:$A$276,$A5,Data!$B$2:$B$276,D$3),2)</f>
        <v>-16.1</v>
      </c>
      <c r="E5" s="6" t="n">
        <f aca="false">ROUND(SUMIFS(Data!$D$2:$D$276,Data!$A$2:$A$276,$A5,Data!$B$2:$B$276,E$3),2)</f>
        <v>-16.43</v>
      </c>
      <c r="F5" s="6" t="n">
        <f aca="false">ROUND(SUMIFS(Data!$D$2:$D$276,Data!$A$2:$A$276,$A5,Data!$B$2:$B$276,F$3),2)</f>
        <v>-16.44</v>
      </c>
      <c r="G5" s="6" t="n">
        <f aca="false">ROUND(SUMIFS(Data!$D$2:$D$276,Data!$A$2:$A$276,$A5,Data!$B$2:$B$276,G$3),2)</f>
        <v>-16.32</v>
      </c>
      <c r="H5" s="6" t="n">
        <f aca="false">ROUND(SUMIFS(Data!$D$2:$D$276,Data!$A$2:$A$276,$A5,Data!$B$2:$B$276,H$3),2)</f>
        <v>-16.3</v>
      </c>
      <c r="I5" s="6" t="n">
        <f aca="false">ROUND(SUMIFS(Data!$D$2:$D$276,Data!$A$2:$A$276,$A5,Data!$B$2:$B$276,I$3),2)</f>
        <v>-16.17</v>
      </c>
      <c r="J5" s="6" t="n">
        <f aca="false">ROUND(SUMIFS(Data!$D$2:$D$276,Data!$A$2:$A$276,$A5,Data!$B$2:$B$276,J$3),2)</f>
        <v>-16.22</v>
      </c>
      <c r="K5" s="6" t="n">
        <f aca="false">ROUND(SUMIFS(Data!$D$2:$D$276,Data!$A$2:$A$276,$A5,Data!$B$2:$B$276,K$3),2)</f>
        <v>-16.35</v>
      </c>
      <c r="L5" s="6" t="n">
        <f aca="false">ROUND(SUMIFS(Data!$D$2:$D$276,Data!$A$2:$A$276,$A5,Data!$B$2:$B$276,L$3),2)</f>
        <v>-16.26</v>
      </c>
    </row>
    <row r="6" customFormat="false" ht="15" hidden="false" customHeight="false" outlineLevel="0" collapsed="false">
      <c r="A6" s="10" t="s">
        <v>6</v>
      </c>
      <c r="B6" s="6" t="n">
        <f aca="false">ROUND(SUMIFS(Data!$D$2:$D$276,Data!$A$2:$A$276,$A6,Data!$B$2:$B$276,B$3),2)</f>
        <v>-13.49</v>
      </c>
      <c r="C6" s="6" t="n">
        <f aca="false">ROUND(SUMIFS(Data!$D$2:$D$276,Data!$A$2:$A$276,$A6,Data!$B$2:$B$276,C$3),2)</f>
        <v>-13.68</v>
      </c>
      <c r="D6" s="6" t="n">
        <f aca="false">ROUND(SUMIFS(Data!$D$2:$D$276,Data!$A$2:$A$276,$A6,Data!$B$2:$B$276,D$3),2)</f>
        <v>-13.28</v>
      </c>
      <c r="E6" s="6" t="n">
        <f aca="false">ROUND(SUMIFS(Data!$D$2:$D$276,Data!$A$2:$A$276,$A6,Data!$B$2:$B$276,E$3),2)</f>
        <v>-14</v>
      </c>
      <c r="F6" s="6" t="n">
        <f aca="false">ROUND(SUMIFS(Data!$D$2:$D$276,Data!$A$2:$A$276,$A6,Data!$B$2:$B$276,F$3),2)</f>
        <v>-13.37</v>
      </c>
      <c r="G6" s="6" t="n">
        <f aca="false">ROUND(SUMIFS(Data!$D$2:$D$276,Data!$A$2:$A$276,$A6,Data!$B$2:$B$276,G$3),2)</f>
        <v>-13.86</v>
      </c>
      <c r="H6" s="6" t="n">
        <f aca="false">ROUND(SUMIFS(Data!$D$2:$D$276,Data!$A$2:$A$276,$A6,Data!$B$2:$B$276,H$3),2)</f>
        <v>-13.9</v>
      </c>
      <c r="I6" s="6" t="n">
        <f aca="false">ROUND(SUMIFS(Data!$D$2:$D$276,Data!$A$2:$A$276,$A6,Data!$B$2:$B$276,I$3),2)</f>
        <v>-13.36</v>
      </c>
      <c r="J6" s="6" t="n">
        <f aca="false">ROUND(SUMIFS(Data!$D$2:$D$276,Data!$A$2:$A$276,$A6,Data!$B$2:$B$276,J$3),2)</f>
        <v>-13.87</v>
      </c>
      <c r="K6" s="6" t="n">
        <f aca="false">ROUND(SUMIFS(Data!$D$2:$D$276,Data!$A$2:$A$276,$A6,Data!$B$2:$B$276,K$3),2)</f>
        <v>-13.57</v>
      </c>
      <c r="L6" s="6" t="n">
        <f aca="false">ROUND(SUMIFS(Data!$D$2:$D$276,Data!$A$2:$A$276,$A6,Data!$B$2:$B$276,L$3),2)</f>
        <v>-13.64</v>
      </c>
    </row>
    <row r="7" customFormat="false" ht="15" hidden="false" customHeight="false" outlineLevel="0" collapsed="false">
      <c r="A7" s="10" t="s">
        <v>7</v>
      </c>
      <c r="B7" s="6" t="n">
        <f aca="false">ROUND(SUMIFS(Data!$D$2:$D$276,Data!$A$2:$A$276,$A7,Data!$B$2:$B$276,B$3),2)</f>
        <v>-13.49</v>
      </c>
      <c r="C7" s="6" t="n">
        <f aca="false">ROUND(SUMIFS(Data!$D$2:$D$276,Data!$A$2:$A$276,$A7,Data!$B$2:$B$276,C$3),2)</f>
        <v>-15.24</v>
      </c>
      <c r="D7" s="6" t="n">
        <f aca="false">ROUND(SUMIFS(Data!$D$2:$D$276,Data!$A$2:$A$276,$A7,Data!$B$2:$B$276,D$3),2)</f>
        <v>-14.67</v>
      </c>
      <c r="E7" s="6" t="n">
        <f aca="false">ROUND(SUMIFS(Data!$D$2:$D$276,Data!$A$2:$A$276,$A7,Data!$B$2:$B$276,E$3),2)</f>
        <v>-14.68</v>
      </c>
      <c r="F7" s="6" t="n">
        <f aca="false">ROUND(SUMIFS(Data!$D$2:$D$276,Data!$A$2:$A$276,$A7,Data!$B$2:$B$276,F$3),2)</f>
        <v>-14.55</v>
      </c>
      <c r="G7" s="6" t="n">
        <f aca="false">ROUND(SUMIFS(Data!$D$2:$D$276,Data!$A$2:$A$276,$A7,Data!$B$2:$B$276,G$3),2)</f>
        <v>-14.91</v>
      </c>
      <c r="H7" s="6" t="n">
        <f aca="false">ROUND(SUMIFS(Data!$D$2:$D$276,Data!$A$2:$A$276,$A7,Data!$B$2:$B$276,H$3),2)</f>
        <v>-15.39</v>
      </c>
      <c r="I7" s="6" t="n">
        <f aca="false">ROUND(SUMIFS(Data!$D$2:$D$276,Data!$A$2:$A$276,$A7,Data!$B$2:$B$276,I$3),2)</f>
        <v>-14.53</v>
      </c>
      <c r="J7" s="6" t="n">
        <f aca="false">ROUND(SUMIFS(Data!$D$2:$D$276,Data!$A$2:$A$276,$A7,Data!$B$2:$B$276,J$3),2)</f>
        <v>-15.16</v>
      </c>
      <c r="K7" s="6" t="n">
        <f aca="false">ROUND(SUMIFS(Data!$D$2:$D$276,Data!$A$2:$A$276,$A7,Data!$B$2:$B$276,K$3),2)</f>
        <v>-14.77</v>
      </c>
      <c r="L7" s="6" t="n">
        <f aca="false">ROUND(SUMIFS(Data!$D$2:$D$276,Data!$A$2:$A$276,$A7,Data!$B$2:$B$276,L$3),2)</f>
        <v>-14.72</v>
      </c>
    </row>
    <row r="8" customFormat="false" ht="15" hidden="false" customHeight="false" outlineLevel="0" collapsed="false">
      <c r="A8" s="10" t="s">
        <v>8</v>
      </c>
      <c r="B8" s="6" t="n">
        <f aca="false">ROUND(SUMIFS(Data!$D$2:$D$276,Data!$A$2:$A$276,$A8,Data!$B$2:$B$276,B$3),2)</f>
        <v>-15.08</v>
      </c>
      <c r="C8" s="6" t="n">
        <f aca="false">ROUND(SUMIFS(Data!$D$2:$D$276,Data!$A$2:$A$276,$A8,Data!$B$2:$B$276,C$3),2)</f>
        <v>-15.82</v>
      </c>
      <c r="D8" s="6" t="n">
        <f aca="false">ROUND(SUMIFS(Data!$D$2:$D$276,Data!$A$2:$A$276,$A8,Data!$B$2:$B$276,D$3),2)</f>
        <v>-15.8</v>
      </c>
      <c r="E8" s="6" t="n">
        <f aca="false">ROUND(SUMIFS(Data!$D$2:$D$276,Data!$A$2:$A$276,$A8,Data!$B$2:$B$276,E$3),2)</f>
        <v>-15.96</v>
      </c>
      <c r="F8" s="6" t="n">
        <f aca="false">ROUND(SUMIFS(Data!$D$2:$D$276,Data!$A$2:$A$276,$A8,Data!$B$2:$B$276,F$3),2)</f>
        <v>-16.08</v>
      </c>
      <c r="G8" s="6" t="n">
        <f aca="false">ROUND(SUMIFS(Data!$D$2:$D$276,Data!$A$2:$A$276,$A8,Data!$B$2:$B$276,G$3),2)</f>
        <v>-15.76</v>
      </c>
      <c r="H8" s="6" t="n">
        <f aca="false">ROUND(SUMIFS(Data!$D$2:$D$276,Data!$A$2:$A$276,$A8,Data!$B$2:$B$276,H$3),2)</f>
        <v>-16.09</v>
      </c>
      <c r="I8" s="6" t="n">
        <f aca="false">ROUND(SUMIFS(Data!$D$2:$D$276,Data!$A$2:$A$276,$A8,Data!$B$2:$B$276,I$3),2)</f>
        <v>-16.14</v>
      </c>
      <c r="J8" s="6" t="n">
        <f aca="false">ROUND(SUMIFS(Data!$D$2:$D$276,Data!$A$2:$A$276,$A8,Data!$B$2:$B$276,J$3),2)</f>
        <v>-16.07</v>
      </c>
      <c r="K8" s="6" t="n">
        <f aca="false">ROUND(SUMIFS(Data!$D$2:$D$276,Data!$A$2:$A$276,$A8,Data!$B$2:$B$276,K$3),2)</f>
        <v>-16.02</v>
      </c>
      <c r="L8" s="6" t="n">
        <f aca="false">ROUND(SUMIFS(Data!$D$2:$D$276,Data!$A$2:$A$276,$A8,Data!$B$2:$B$276,L$3),2)</f>
        <v>-16.08</v>
      </c>
    </row>
    <row r="9" customFormat="false" ht="15" hidden="false" customHeight="false" outlineLevel="0" collapsed="false">
      <c r="A9" s="10" t="s">
        <v>9</v>
      </c>
      <c r="B9" s="6" t="n">
        <f aca="false">ROUND(SUMIFS(Data!$D$2:$D$276,Data!$A$2:$A$276,$A9,Data!$B$2:$B$276,B$3),2)</f>
        <v>-14.51</v>
      </c>
      <c r="C9" s="6" t="n">
        <f aca="false">ROUND(SUMIFS(Data!$D$2:$D$276,Data!$A$2:$A$276,$A9,Data!$B$2:$B$276,C$3),2)</f>
        <v>-15.4</v>
      </c>
      <c r="D9" s="6" t="n">
        <f aca="false">ROUND(SUMIFS(Data!$D$2:$D$276,Data!$A$2:$A$276,$A9,Data!$B$2:$B$276,D$3),2)</f>
        <v>-15.37</v>
      </c>
      <c r="E9" s="6" t="n">
        <f aca="false">ROUND(SUMIFS(Data!$D$2:$D$276,Data!$A$2:$A$276,$A9,Data!$B$2:$B$276,E$3),2)</f>
        <v>-15.6</v>
      </c>
      <c r="F9" s="6" t="n">
        <f aca="false">ROUND(SUMIFS(Data!$D$2:$D$276,Data!$A$2:$A$276,$A9,Data!$B$2:$B$276,F$3),2)</f>
        <v>-15.79</v>
      </c>
      <c r="G9" s="6" t="n">
        <f aca="false">ROUND(SUMIFS(Data!$D$2:$D$276,Data!$A$2:$A$276,$A9,Data!$B$2:$B$276,G$3),2)</f>
        <v>-15.56</v>
      </c>
      <c r="H9" s="6" t="n">
        <f aca="false">ROUND(SUMIFS(Data!$D$2:$D$276,Data!$A$2:$A$276,$A9,Data!$B$2:$B$276,H$3),2)</f>
        <v>-15.48</v>
      </c>
      <c r="I9" s="6" t="n">
        <f aca="false">ROUND(SUMIFS(Data!$D$2:$D$276,Data!$A$2:$A$276,$A9,Data!$B$2:$B$276,I$3),2)</f>
        <v>-15.39</v>
      </c>
      <c r="J9" s="6" t="n">
        <f aca="false">ROUND(SUMIFS(Data!$D$2:$D$276,Data!$A$2:$A$276,$A9,Data!$B$2:$B$276,J$3),2)</f>
        <v>-15.41</v>
      </c>
      <c r="K9" s="6" t="n">
        <f aca="false">ROUND(SUMIFS(Data!$D$2:$D$276,Data!$A$2:$A$276,$A9,Data!$B$2:$B$276,K$3),2)</f>
        <v>-15.62</v>
      </c>
      <c r="L9" s="6" t="n">
        <f aca="false">ROUND(SUMIFS(Data!$D$2:$D$276,Data!$A$2:$A$276,$A9,Data!$B$2:$B$276,L$3),2)</f>
        <v>-15.6</v>
      </c>
    </row>
    <row r="10" customFormat="false" ht="15" hidden="false" customHeight="false" outlineLevel="0" collapsed="false">
      <c r="A10" s="10" t="s">
        <v>10</v>
      </c>
      <c r="B10" s="6" t="n">
        <f aca="false">ROUND(SUMIFS(Data!$D$2:$D$276,Data!$A$2:$A$276,$A10,Data!$B$2:$B$276,B$3),2)</f>
        <v>-15.38</v>
      </c>
      <c r="C10" s="6" t="n">
        <f aca="false">ROUND(SUMIFS(Data!$D$2:$D$276,Data!$A$2:$A$276,$A10,Data!$B$2:$B$276,C$3),2)</f>
        <v>-16.11</v>
      </c>
      <c r="D10" s="6" t="n">
        <f aca="false">ROUND(SUMIFS(Data!$D$2:$D$276,Data!$A$2:$A$276,$A10,Data!$B$2:$B$276,D$3),2)</f>
        <v>-16.21</v>
      </c>
      <c r="E10" s="6" t="n">
        <f aca="false">ROUND(SUMIFS(Data!$D$2:$D$276,Data!$A$2:$A$276,$A10,Data!$B$2:$B$276,E$3),2)</f>
        <v>-16.39</v>
      </c>
      <c r="F10" s="6" t="n">
        <f aca="false">ROUND(SUMIFS(Data!$D$2:$D$276,Data!$A$2:$A$276,$A10,Data!$B$2:$B$276,F$3),2)</f>
        <v>-16.41</v>
      </c>
      <c r="G10" s="6" t="n">
        <f aca="false">ROUND(SUMIFS(Data!$D$2:$D$276,Data!$A$2:$A$276,$A10,Data!$B$2:$B$276,G$3),2)</f>
        <v>-16.42</v>
      </c>
      <c r="H10" s="6" t="n">
        <f aca="false">ROUND(SUMIFS(Data!$D$2:$D$276,Data!$A$2:$A$276,$A10,Data!$B$2:$B$276,H$3),2)</f>
        <v>-16.37</v>
      </c>
      <c r="I10" s="6" t="n">
        <f aca="false">ROUND(SUMIFS(Data!$D$2:$D$276,Data!$A$2:$A$276,$A10,Data!$B$2:$B$276,I$3),2)</f>
        <v>-16.36</v>
      </c>
      <c r="J10" s="6" t="n">
        <f aca="false">ROUND(SUMIFS(Data!$D$2:$D$276,Data!$A$2:$A$276,$A10,Data!$B$2:$B$276,J$3),2)</f>
        <v>-16.33</v>
      </c>
      <c r="K10" s="6" t="n">
        <f aca="false">ROUND(SUMIFS(Data!$D$2:$D$276,Data!$A$2:$A$276,$A10,Data!$B$2:$B$276,K$3),2)</f>
        <v>-16.57</v>
      </c>
      <c r="L10" s="6" t="n">
        <f aca="false">ROUND(SUMIFS(Data!$D$2:$D$276,Data!$A$2:$A$276,$A10,Data!$B$2:$B$276,L$3),2)</f>
        <v>-16.46</v>
      </c>
    </row>
    <row r="11" customFormat="false" ht="15" hidden="false" customHeight="false" outlineLevel="0" collapsed="false">
      <c r="A11" s="10" t="s">
        <v>11</v>
      </c>
      <c r="B11" s="6" t="n">
        <f aca="false">ROUND(SUMIFS(Data!$D$2:$D$276,Data!$A$2:$A$276,$A11,Data!$B$2:$B$276,B$3),2)</f>
        <v>-14.48</v>
      </c>
      <c r="C11" s="6" t="n">
        <f aca="false">ROUND(SUMIFS(Data!$D$2:$D$276,Data!$A$2:$A$276,$A11,Data!$B$2:$B$276,C$3),2)</f>
        <v>-15.46</v>
      </c>
      <c r="D11" s="6" t="n">
        <f aca="false">ROUND(SUMIFS(Data!$D$2:$D$276,Data!$A$2:$A$276,$A11,Data!$B$2:$B$276,D$3),2)</f>
        <v>-15.34</v>
      </c>
      <c r="E11" s="6" t="n">
        <f aca="false">ROUND(SUMIFS(Data!$D$2:$D$276,Data!$A$2:$A$276,$A11,Data!$B$2:$B$276,E$3),2)</f>
        <v>-15.16</v>
      </c>
      <c r="F11" s="6" t="n">
        <f aca="false">ROUND(SUMIFS(Data!$D$2:$D$276,Data!$A$2:$A$276,$A11,Data!$B$2:$B$276,F$3),2)</f>
        <v>-15.61</v>
      </c>
      <c r="G11" s="6" t="n">
        <f aca="false">ROUND(SUMIFS(Data!$D$2:$D$276,Data!$A$2:$A$276,$A11,Data!$B$2:$B$276,G$3),2)</f>
        <v>-15.37</v>
      </c>
      <c r="H11" s="6" t="n">
        <f aca="false">ROUND(SUMIFS(Data!$D$2:$D$276,Data!$A$2:$A$276,$A11,Data!$B$2:$B$276,H$3),2)</f>
        <v>-15.42</v>
      </c>
      <c r="I11" s="6" t="n">
        <f aca="false">ROUND(SUMIFS(Data!$D$2:$D$276,Data!$A$2:$A$276,$A11,Data!$B$2:$B$276,I$3),2)</f>
        <v>-15.2</v>
      </c>
      <c r="J11" s="6" t="n">
        <f aca="false">ROUND(SUMIFS(Data!$D$2:$D$276,Data!$A$2:$A$276,$A11,Data!$B$2:$B$276,J$3),2)</f>
        <v>-14.96</v>
      </c>
      <c r="K11" s="6" t="n">
        <f aca="false">ROUND(SUMIFS(Data!$D$2:$D$276,Data!$A$2:$A$276,$A11,Data!$B$2:$B$276,K$3),2)</f>
        <v>-15.36</v>
      </c>
      <c r="L11" s="6" t="n">
        <f aca="false">ROUND(SUMIFS(Data!$D$2:$D$276,Data!$A$2:$A$276,$A11,Data!$B$2:$B$276,L$3),2)</f>
        <v>-15.27</v>
      </c>
    </row>
    <row r="12" customFormat="false" ht="15" hidden="false" customHeight="false" outlineLevel="0" collapsed="false">
      <c r="A12" s="10" t="s">
        <v>12</v>
      </c>
      <c r="B12" s="6" t="n">
        <f aca="false">ROUND(SUMIFS(Data!$D$2:$D$276,Data!$A$2:$A$276,$A12,Data!$B$2:$B$276,B$3),2)</f>
        <v>-14.51</v>
      </c>
      <c r="C12" s="6" t="n">
        <f aca="false">ROUND(SUMIFS(Data!$D$2:$D$276,Data!$A$2:$A$276,$A12,Data!$B$2:$B$276,C$3),2)</f>
        <v>-15.49</v>
      </c>
      <c r="D12" s="6" t="n">
        <f aca="false">ROUND(SUMIFS(Data!$D$2:$D$276,Data!$A$2:$A$276,$A12,Data!$B$2:$B$276,D$3),2)</f>
        <v>-15.49</v>
      </c>
      <c r="E12" s="6" t="n">
        <f aca="false">ROUND(SUMIFS(Data!$D$2:$D$276,Data!$A$2:$A$276,$A12,Data!$B$2:$B$276,E$3),2)</f>
        <v>-15.33</v>
      </c>
      <c r="F12" s="6" t="n">
        <f aca="false">ROUND(SUMIFS(Data!$D$2:$D$276,Data!$A$2:$A$276,$A12,Data!$B$2:$B$276,F$3),2)</f>
        <v>-15.81</v>
      </c>
      <c r="G12" s="6" t="n">
        <f aca="false">ROUND(SUMIFS(Data!$D$2:$D$276,Data!$A$2:$A$276,$A12,Data!$B$2:$B$276,G$3),2)</f>
        <v>-15.65</v>
      </c>
      <c r="H12" s="6" t="n">
        <f aca="false">ROUND(SUMIFS(Data!$D$2:$D$276,Data!$A$2:$A$276,$A12,Data!$B$2:$B$276,H$3),2)</f>
        <v>-15.64</v>
      </c>
      <c r="I12" s="6" t="n">
        <f aca="false">ROUND(SUMIFS(Data!$D$2:$D$276,Data!$A$2:$A$276,$A12,Data!$B$2:$B$276,I$3),2)</f>
        <v>-15.41</v>
      </c>
      <c r="J12" s="6" t="n">
        <f aca="false">ROUND(SUMIFS(Data!$D$2:$D$276,Data!$A$2:$A$276,$A12,Data!$B$2:$B$276,J$3),2)</f>
        <v>-15.06</v>
      </c>
      <c r="K12" s="6" t="n">
        <f aca="false">ROUND(SUMIFS(Data!$D$2:$D$276,Data!$A$2:$A$276,$A12,Data!$B$2:$B$276,K$3),2)</f>
        <v>-15.59</v>
      </c>
      <c r="L12" s="6" t="n">
        <f aca="false">ROUND(SUMIFS(Data!$D$2:$D$276,Data!$A$2:$A$276,$A12,Data!$B$2:$B$276,L$3),2)</f>
        <v>-15.55</v>
      </c>
    </row>
    <row r="13" customFormat="false" ht="15" hidden="false" customHeight="false" outlineLevel="0" collapsed="false">
      <c r="A13" s="10" t="s">
        <v>13</v>
      </c>
      <c r="B13" s="6" t="n">
        <f aca="false">ROUND(SUMIFS(Data!$D$2:$D$276,Data!$A$2:$A$276,$A13,Data!$B$2:$B$276,B$3),2)</f>
        <v>-14.57</v>
      </c>
      <c r="C13" s="6" t="n">
        <f aca="false">ROUND(SUMIFS(Data!$D$2:$D$276,Data!$A$2:$A$276,$A13,Data!$B$2:$B$276,C$3),2)</f>
        <v>-15.19</v>
      </c>
      <c r="D13" s="6" t="n">
        <f aca="false">ROUND(SUMIFS(Data!$D$2:$D$276,Data!$A$2:$A$276,$A13,Data!$B$2:$B$276,D$3),2)</f>
        <v>-15.23</v>
      </c>
      <c r="E13" s="6" t="n">
        <f aca="false">ROUND(SUMIFS(Data!$D$2:$D$276,Data!$A$2:$A$276,$A13,Data!$B$2:$B$276,E$3),2)</f>
        <v>-15.75</v>
      </c>
      <c r="F13" s="6" t="n">
        <f aca="false">ROUND(SUMIFS(Data!$D$2:$D$276,Data!$A$2:$A$276,$A13,Data!$B$2:$B$276,F$3),2)</f>
        <v>-15.46</v>
      </c>
      <c r="G13" s="6" t="n">
        <f aca="false">ROUND(SUMIFS(Data!$D$2:$D$276,Data!$A$2:$A$276,$A13,Data!$B$2:$B$276,G$3),2)</f>
        <v>-15.61</v>
      </c>
      <c r="H13" s="6" t="n">
        <f aca="false">ROUND(SUMIFS(Data!$D$2:$D$276,Data!$A$2:$A$276,$A13,Data!$B$2:$B$276,H$3),2)</f>
        <v>-15.55</v>
      </c>
      <c r="I13" s="6" t="n">
        <f aca="false">ROUND(SUMIFS(Data!$D$2:$D$276,Data!$A$2:$A$276,$A13,Data!$B$2:$B$276,I$3),2)</f>
        <v>-15.08</v>
      </c>
      <c r="J13" s="6" t="n">
        <f aca="false">ROUND(SUMIFS(Data!$D$2:$D$276,Data!$A$2:$A$276,$A13,Data!$B$2:$B$276,J$3),2)</f>
        <v>-15.39</v>
      </c>
      <c r="K13" s="6" t="n">
        <f aca="false">ROUND(SUMIFS(Data!$D$2:$D$276,Data!$A$2:$A$276,$A13,Data!$B$2:$B$276,K$3),2)</f>
        <v>-15.53</v>
      </c>
      <c r="L13" s="6" t="n">
        <f aca="false">ROUND(SUMIFS(Data!$D$2:$D$276,Data!$A$2:$A$276,$A13,Data!$B$2:$B$276,L$3),2)</f>
        <v>-15.36</v>
      </c>
    </row>
    <row r="14" customFormat="false" ht="15" hidden="false" customHeight="false" outlineLevel="0" collapsed="false">
      <c r="A14" s="10" t="s">
        <v>14</v>
      </c>
      <c r="B14" s="6" t="n">
        <f aca="false">ROUND(SUMIFS(Data!$D$2:$D$276,Data!$A$2:$A$276,$A14,Data!$B$2:$B$276,B$3),2)</f>
        <v>-14.67</v>
      </c>
      <c r="C14" s="6" t="n">
        <f aca="false">ROUND(SUMIFS(Data!$D$2:$D$276,Data!$A$2:$A$276,$A14,Data!$B$2:$B$276,C$3),2)</f>
        <v>-15.22</v>
      </c>
      <c r="D14" s="6" t="n">
        <f aca="false">ROUND(SUMIFS(Data!$D$2:$D$276,Data!$A$2:$A$276,$A14,Data!$B$2:$B$276,D$3),2)</f>
        <v>-14.98</v>
      </c>
      <c r="E14" s="6" t="n">
        <f aca="false">ROUND(SUMIFS(Data!$D$2:$D$276,Data!$A$2:$A$276,$A14,Data!$B$2:$B$276,E$3),2)</f>
        <v>-15.35</v>
      </c>
      <c r="F14" s="6" t="n">
        <f aca="false">ROUND(SUMIFS(Data!$D$2:$D$276,Data!$A$2:$A$276,$A14,Data!$B$2:$B$276,F$3),2)</f>
        <v>-15.17</v>
      </c>
      <c r="G14" s="6" t="n">
        <f aca="false">ROUND(SUMIFS(Data!$D$2:$D$276,Data!$A$2:$A$276,$A14,Data!$B$2:$B$276,G$3),2)</f>
        <v>-15.29</v>
      </c>
      <c r="H14" s="6" t="n">
        <f aca="false">ROUND(SUMIFS(Data!$D$2:$D$276,Data!$A$2:$A$276,$A14,Data!$B$2:$B$276,H$3),2)</f>
        <v>-15.24</v>
      </c>
      <c r="I14" s="6" t="n">
        <f aca="false">ROUND(SUMIFS(Data!$D$2:$D$276,Data!$A$2:$A$276,$A14,Data!$B$2:$B$276,I$3),2)</f>
        <v>-14.86</v>
      </c>
      <c r="J14" s="6" t="n">
        <f aca="false">ROUND(SUMIFS(Data!$D$2:$D$276,Data!$A$2:$A$276,$A14,Data!$B$2:$B$276,J$3),2)</f>
        <v>-15.07</v>
      </c>
      <c r="K14" s="6" t="n">
        <f aca="false">ROUND(SUMIFS(Data!$D$2:$D$276,Data!$A$2:$A$276,$A14,Data!$B$2:$B$276,K$3),2)</f>
        <v>-15.17</v>
      </c>
      <c r="L14" s="6" t="n">
        <f aca="false">ROUND(SUMIFS(Data!$D$2:$D$276,Data!$A$2:$A$276,$A14,Data!$B$2:$B$276,L$3),2)</f>
        <v>-15.06</v>
      </c>
    </row>
    <row r="15" customFormat="false" ht="15" hidden="false" customHeight="false" outlineLevel="0" collapsed="false">
      <c r="A15" s="10" t="s">
        <v>15</v>
      </c>
      <c r="B15" s="6" t="n">
        <f aca="false">ROUND(SUMIFS(Data!$D$2:$D$276,Data!$A$2:$A$276,$A15,Data!$B$2:$B$276,B$3),2)</f>
        <v>-13.89</v>
      </c>
      <c r="C15" s="6" t="n">
        <f aca="false">ROUND(SUMIFS(Data!$D$2:$D$276,Data!$A$2:$A$276,$A15,Data!$B$2:$B$276,C$3),2)</f>
        <v>-14.85</v>
      </c>
      <c r="D15" s="6" t="n">
        <f aca="false">ROUND(SUMIFS(Data!$D$2:$D$276,Data!$A$2:$A$276,$A15,Data!$B$2:$B$276,D$3),2)</f>
        <v>-14.64</v>
      </c>
      <c r="E15" s="6" t="n">
        <f aca="false">ROUND(SUMIFS(Data!$D$2:$D$276,Data!$A$2:$A$276,$A15,Data!$B$2:$B$276,E$3),2)</f>
        <v>-15.02</v>
      </c>
      <c r="F15" s="6" t="n">
        <f aca="false">ROUND(SUMIFS(Data!$D$2:$D$276,Data!$A$2:$A$276,$A15,Data!$B$2:$B$276,F$3),2)</f>
        <v>-14.7</v>
      </c>
      <c r="G15" s="6" t="n">
        <f aca="false">ROUND(SUMIFS(Data!$D$2:$D$276,Data!$A$2:$A$276,$A15,Data!$B$2:$B$276,G$3),2)</f>
        <v>-14.95</v>
      </c>
      <c r="H15" s="6" t="n">
        <f aca="false">ROUND(SUMIFS(Data!$D$2:$D$276,Data!$A$2:$A$276,$A15,Data!$B$2:$B$276,H$3),2)</f>
        <v>-14.89</v>
      </c>
      <c r="I15" s="6" t="n">
        <f aca="false">ROUND(SUMIFS(Data!$D$2:$D$276,Data!$A$2:$A$276,$A15,Data!$B$2:$B$276,I$3),2)</f>
        <v>-14.54</v>
      </c>
      <c r="J15" s="6" t="n">
        <f aca="false">ROUND(SUMIFS(Data!$D$2:$D$276,Data!$A$2:$A$276,$A15,Data!$B$2:$B$276,J$3),2)</f>
        <v>-14.8</v>
      </c>
      <c r="K15" s="6" t="n">
        <f aca="false">ROUND(SUMIFS(Data!$D$2:$D$276,Data!$A$2:$A$276,$A15,Data!$B$2:$B$276,K$3),2)</f>
        <v>-14.82</v>
      </c>
      <c r="L15" s="6" t="n">
        <f aca="false">ROUND(SUMIFS(Data!$D$2:$D$276,Data!$A$2:$A$276,$A15,Data!$B$2:$B$276,L$3),2)</f>
        <v>-14.71</v>
      </c>
    </row>
    <row r="16" customFormat="false" ht="15" hidden="false" customHeight="false" outlineLevel="0" collapsed="false">
      <c r="A16" s="10" t="s">
        <v>16</v>
      </c>
      <c r="B16" s="6" t="n">
        <f aca="false">ROUND(SUMIFS(Data!$D$2:$D$276,Data!$A$2:$A$276,$A16,Data!$B$2:$B$276,B$3),2)</f>
        <v>-13.28</v>
      </c>
      <c r="C16" s="6" t="n">
        <f aca="false">ROUND(SUMIFS(Data!$D$2:$D$276,Data!$A$2:$A$276,$A16,Data!$B$2:$B$276,C$3),2)</f>
        <v>-14.25</v>
      </c>
      <c r="D16" s="6" t="n">
        <f aca="false">ROUND(SUMIFS(Data!$D$2:$D$276,Data!$A$2:$A$276,$A16,Data!$B$2:$B$276,D$3),2)</f>
        <v>-14.01</v>
      </c>
      <c r="E16" s="6" t="n">
        <f aca="false">ROUND(SUMIFS(Data!$D$2:$D$276,Data!$A$2:$A$276,$A16,Data!$B$2:$B$276,E$3),2)</f>
        <v>-14.3</v>
      </c>
      <c r="F16" s="6" t="n">
        <f aca="false">ROUND(SUMIFS(Data!$D$2:$D$276,Data!$A$2:$A$276,$A16,Data!$B$2:$B$276,F$3),2)</f>
        <v>-14.02</v>
      </c>
      <c r="G16" s="6" t="n">
        <f aca="false">ROUND(SUMIFS(Data!$D$2:$D$276,Data!$A$2:$A$276,$A16,Data!$B$2:$B$276,G$3),2)</f>
        <v>-14.24</v>
      </c>
      <c r="H16" s="6" t="n">
        <f aca="false">ROUND(SUMIFS(Data!$D$2:$D$276,Data!$A$2:$A$276,$A16,Data!$B$2:$B$276,H$3),2)</f>
        <v>-14.26</v>
      </c>
      <c r="I16" s="6" t="n">
        <f aca="false">ROUND(SUMIFS(Data!$D$2:$D$276,Data!$A$2:$A$276,$A16,Data!$B$2:$B$276,I$3),2)</f>
        <v>-13.95</v>
      </c>
      <c r="J16" s="6" t="n">
        <f aca="false">ROUND(SUMIFS(Data!$D$2:$D$276,Data!$A$2:$A$276,$A16,Data!$B$2:$B$276,J$3),2)</f>
        <v>-14.23</v>
      </c>
      <c r="K16" s="6" t="n">
        <f aca="false">ROUND(SUMIFS(Data!$D$2:$D$276,Data!$A$2:$A$276,$A16,Data!$B$2:$B$276,K$3),2)</f>
        <v>-14.21</v>
      </c>
      <c r="L16" s="6" t="n">
        <f aca="false">ROUND(SUMIFS(Data!$D$2:$D$276,Data!$A$2:$A$276,$A16,Data!$B$2:$B$276,L$3),2)</f>
        <v>-14.09</v>
      </c>
    </row>
    <row r="17" customFormat="false" ht="15" hidden="false" customHeight="false" outlineLevel="0" collapsed="false">
      <c r="A17" s="10" t="s">
        <v>17</v>
      </c>
      <c r="B17" s="6" t="n">
        <f aca="false">ROUND(SUMIFS(Data!$D$2:$D$276,Data!$A$2:$A$276,$A17,Data!$B$2:$B$276,B$3),2)</f>
        <v>-14.95</v>
      </c>
      <c r="C17" s="6" t="n">
        <f aca="false">ROUND(SUMIFS(Data!$D$2:$D$276,Data!$A$2:$A$276,$A17,Data!$B$2:$B$276,C$3),2)</f>
        <v>-15.53</v>
      </c>
      <c r="D17" s="6" t="n">
        <f aca="false">ROUND(SUMIFS(Data!$D$2:$D$276,Data!$A$2:$A$276,$A17,Data!$B$2:$B$276,D$3),2)</f>
        <v>-15.55</v>
      </c>
      <c r="E17" s="6" t="n">
        <f aca="false">ROUND(SUMIFS(Data!$D$2:$D$276,Data!$A$2:$A$276,$A17,Data!$B$2:$B$276,E$3),2)</f>
        <v>-16.03</v>
      </c>
      <c r="F17" s="6" t="n">
        <f aca="false">ROUND(SUMIFS(Data!$D$2:$D$276,Data!$A$2:$A$276,$A17,Data!$B$2:$B$276,F$3),2)</f>
        <v>-15.65</v>
      </c>
      <c r="G17" s="6" t="n">
        <f aca="false">ROUND(SUMIFS(Data!$D$2:$D$276,Data!$A$2:$A$276,$A17,Data!$B$2:$B$276,G$3),2)</f>
        <v>-15.95</v>
      </c>
      <c r="H17" s="6" t="n">
        <f aca="false">ROUND(SUMIFS(Data!$D$2:$D$276,Data!$A$2:$A$276,$A17,Data!$B$2:$B$276,H$3),2)</f>
        <v>-15.84</v>
      </c>
      <c r="I17" s="6" t="n">
        <f aca="false">ROUND(SUMIFS(Data!$D$2:$D$276,Data!$A$2:$A$276,$A17,Data!$B$2:$B$276,I$3),2)</f>
        <v>-15.3</v>
      </c>
      <c r="J17" s="6" t="n">
        <f aca="false">ROUND(SUMIFS(Data!$D$2:$D$276,Data!$A$2:$A$276,$A17,Data!$B$2:$B$276,J$3),2)</f>
        <v>-15.72</v>
      </c>
      <c r="K17" s="6" t="n">
        <f aca="false">ROUND(SUMIFS(Data!$D$2:$D$276,Data!$A$2:$A$276,$A17,Data!$B$2:$B$276,K$3),2)</f>
        <v>-15.9</v>
      </c>
      <c r="L17" s="6" t="n">
        <f aca="false">ROUND(SUMIFS(Data!$D$2:$D$276,Data!$A$2:$A$276,$A17,Data!$B$2:$B$276,L$3),2)</f>
        <v>-15.74</v>
      </c>
    </row>
    <row r="18" customFormat="false" ht="15" hidden="false" customHeight="false" outlineLevel="0" collapsed="false">
      <c r="A18" s="10" t="s">
        <v>18</v>
      </c>
      <c r="B18" s="6" t="n">
        <f aca="false">ROUND(SUMIFS(Data!$D$2:$D$276,Data!$A$2:$A$276,$A18,Data!$B$2:$B$276,B$3),2)</f>
        <v>-15.06</v>
      </c>
      <c r="C18" s="6" t="n">
        <f aca="false">ROUND(SUMIFS(Data!$D$2:$D$276,Data!$A$2:$A$276,$A18,Data!$B$2:$B$276,C$3),2)</f>
        <v>-15.9</v>
      </c>
      <c r="D18" s="6" t="n">
        <f aca="false">ROUND(SUMIFS(Data!$D$2:$D$276,Data!$A$2:$A$276,$A18,Data!$B$2:$B$276,D$3),2)</f>
        <v>-15.83</v>
      </c>
      <c r="E18" s="6" t="n">
        <f aca="false">ROUND(SUMIFS(Data!$D$2:$D$276,Data!$A$2:$A$276,$A18,Data!$B$2:$B$276,E$3),2)</f>
        <v>-16.01</v>
      </c>
      <c r="F18" s="6" t="n">
        <f aca="false">ROUND(SUMIFS(Data!$D$2:$D$276,Data!$A$2:$A$276,$A18,Data!$B$2:$B$276,F$3),2)</f>
        <v>-16.12</v>
      </c>
      <c r="G18" s="6" t="n">
        <f aca="false">ROUND(SUMIFS(Data!$D$2:$D$276,Data!$A$2:$A$276,$A18,Data!$B$2:$B$276,G$3),2)</f>
        <v>-15.98</v>
      </c>
      <c r="H18" s="6" t="n">
        <f aca="false">ROUND(SUMIFS(Data!$D$2:$D$276,Data!$A$2:$A$276,$A18,Data!$B$2:$B$276,H$3),2)</f>
        <v>-15.9</v>
      </c>
      <c r="I18" s="6" t="n">
        <f aca="false">ROUND(SUMIFS(Data!$D$2:$D$276,Data!$A$2:$A$276,$A18,Data!$B$2:$B$276,I$3),2)</f>
        <v>-15.81</v>
      </c>
      <c r="J18" s="6" t="n">
        <f aca="false">ROUND(SUMIFS(Data!$D$2:$D$276,Data!$A$2:$A$276,$A18,Data!$B$2:$B$276,J$3),2)</f>
        <v>-15.78</v>
      </c>
      <c r="K18" s="6" t="n">
        <f aca="false">ROUND(SUMIFS(Data!$D$2:$D$276,Data!$A$2:$A$276,$A18,Data!$B$2:$B$276,K$3),2)</f>
        <v>-15.93</v>
      </c>
      <c r="L18" s="6" t="n">
        <f aca="false">ROUND(SUMIFS(Data!$D$2:$D$276,Data!$A$2:$A$276,$A18,Data!$B$2:$B$276,L$3),2)</f>
        <v>-15.89</v>
      </c>
    </row>
    <row r="19" customFormat="false" ht="15" hidden="false" customHeight="false" outlineLevel="0" collapsed="false">
      <c r="A19" s="10" t="s">
        <v>19</v>
      </c>
      <c r="B19" s="6" t="n">
        <f aca="false">ROUND(SUMIFS(Data!$D$2:$D$276,Data!$A$2:$A$276,$A19,Data!$B$2:$B$276,B$3),2)</f>
        <v>-15.11</v>
      </c>
      <c r="C19" s="6" t="n">
        <f aca="false">ROUND(SUMIFS(Data!$D$2:$D$276,Data!$A$2:$A$276,$A19,Data!$B$2:$B$276,C$3),2)</f>
        <v>-15.92</v>
      </c>
      <c r="D19" s="6" t="n">
        <f aca="false">ROUND(SUMIFS(Data!$D$2:$D$276,Data!$A$2:$A$276,$A19,Data!$B$2:$B$276,D$3),2)</f>
        <v>-15.68</v>
      </c>
      <c r="E19" s="6" t="n">
        <f aca="false">ROUND(SUMIFS(Data!$D$2:$D$276,Data!$A$2:$A$276,$A19,Data!$B$2:$B$276,E$3),2)</f>
        <v>-15.95</v>
      </c>
      <c r="F19" s="6" t="n">
        <f aca="false">ROUND(SUMIFS(Data!$D$2:$D$276,Data!$A$2:$A$276,$A19,Data!$B$2:$B$276,F$3),2)</f>
        <v>-15.95</v>
      </c>
      <c r="G19" s="6" t="n">
        <f aca="false">ROUND(SUMIFS(Data!$D$2:$D$276,Data!$A$2:$A$276,$A19,Data!$B$2:$B$276,G$3),2)</f>
        <v>-15.84</v>
      </c>
      <c r="H19" s="6" t="n">
        <f aca="false">ROUND(SUMIFS(Data!$D$2:$D$276,Data!$A$2:$A$276,$A19,Data!$B$2:$B$276,H$3),2)</f>
        <v>-15.8</v>
      </c>
      <c r="I19" s="6" t="n">
        <f aca="false">ROUND(SUMIFS(Data!$D$2:$D$276,Data!$A$2:$A$276,$A19,Data!$B$2:$B$276,I$3),2)</f>
        <v>-15.69</v>
      </c>
      <c r="J19" s="6" t="n">
        <f aca="false">ROUND(SUMIFS(Data!$D$2:$D$276,Data!$A$2:$A$276,$A19,Data!$B$2:$B$276,J$3),2)</f>
        <v>-16.29</v>
      </c>
      <c r="K19" s="6" t="n">
        <f aca="false">ROUND(SUMIFS(Data!$D$2:$D$276,Data!$A$2:$A$276,$A19,Data!$B$2:$B$276,K$3),2)</f>
        <v>-16.53</v>
      </c>
      <c r="L19" s="6" t="n">
        <f aca="false">ROUND(SUMIFS(Data!$D$2:$D$276,Data!$A$2:$A$276,$A19,Data!$B$2:$B$276,L$3),2)</f>
        <v>-16.41</v>
      </c>
    </row>
    <row r="20" customFormat="false" ht="15" hidden="false" customHeight="false" outlineLevel="0" collapsed="false">
      <c r="A20" s="10" t="s">
        <v>20</v>
      </c>
      <c r="B20" s="6" t="n">
        <f aca="false">ROUND(SUMIFS(Data!$D$2:$D$276,Data!$A$2:$A$276,$A20,Data!$B$2:$B$276,B$3),2)</f>
        <v>-14.74</v>
      </c>
      <c r="C20" s="6" t="n">
        <f aca="false">ROUND(SUMIFS(Data!$D$2:$D$276,Data!$A$2:$A$276,$A20,Data!$B$2:$B$276,C$3),2)</f>
        <v>-15.43</v>
      </c>
      <c r="D20" s="6" t="n">
        <f aca="false">ROUND(SUMIFS(Data!$D$2:$D$276,Data!$A$2:$A$276,$A20,Data!$B$2:$B$276,D$3),2)</f>
        <v>-15.31</v>
      </c>
      <c r="E20" s="6" t="n">
        <f aca="false">ROUND(SUMIFS(Data!$D$2:$D$276,Data!$A$2:$A$276,$A20,Data!$B$2:$B$276,E$3),2)</f>
        <v>-15.19</v>
      </c>
      <c r="F20" s="6" t="n">
        <f aca="false">ROUND(SUMIFS(Data!$D$2:$D$276,Data!$A$2:$A$276,$A20,Data!$B$2:$B$276,F$3),2)</f>
        <v>-15.49</v>
      </c>
      <c r="G20" s="6" t="n">
        <f aca="false">ROUND(SUMIFS(Data!$D$2:$D$276,Data!$A$2:$A$276,$A20,Data!$B$2:$B$276,G$3),2)</f>
        <v>-15.37</v>
      </c>
      <c r="H20" s="6" t="n">
        <f aca="false">ROUND(SUMIFS(Data!$D$2:$D$276,Data!$A$2:$A$276,$A20,Data!$B$2:$B$276,H$3),2)</f>
        <v>-15.39</v>
      </c>
      <c r="I20" s="6" t="n">
        <f aca="false">ROUND(SUMIFS(Data!$D$2:$D$276,Data!$A$2:$A$276,$A20,Data!$B$2:$B$276,I$3),2)</f>
        <v>-15.13</v>
      </c>
      <c r="J20" s="6" t="n">
        <f aca="false">ROUND(SUMIFS(Data!$D$2:$D$276,Data!$A$2:$A$276,$A20,Data!$B$2:$B$276,J$3),2)</f>
        <v>-15.04</v>
      </c>
      <c r="K20" s="6" t="n">
        <f aca="false">ROUND(SUMIFS(Data!$D$2:$D$276,Data!$A$2:$A$276,$A20,Data!$B$2:$B$276,K$3),2)</f>
        <v>-15.33</v>
      </c>
      <c r="L20" s="6" t="n">
        <f aca="false">ROUND(SUMIFS(Data!$D$2:$D$276,Data!$A$2:$A$276,$A20,Data!$B$2:$B$276,L$3),2)</f>
        <v>-15.26</v>
      </c>
    </row>
    <row r="21" customFormat="false" ht="15" hidden="false" customHeight="false" outlineLevel="0" collapsed="false">
      <c r="A21" s="10" t="s">
        <v>21</v>
      </c>
      <c r="B21" s="6" t="n">
        <f aca="false">ROUND(SUMIFS(Data!$D$2:$D$276,Data!$A$2:$A$276,$A21,Data!$B$2:$B$276,B$3),2)</f>
        <v>-14.8</v>
      </c>
      <c r="C21" s="6" t="n">
        <f aca="false">ROUND(SUMIFS(Data!$D$2:$D$276,Data!$A$2:$A$276,$A21,Data!$B$2:$B$276,C$3),2)</f>
        <v>-15.49</v>
      </c>
      <c r="D21" s="6" t="n">
        <f aca="false">ROUND(SUMIFS(Data!$D$2:$D$276,Data!$A$2:$A$276,$A21,Data!$B$2:$B$276,D$3),2)</f>
        <v>-15.44</v>
      </c>
      <c r="E21" s="6" t="n">
        <f aca="false">ROUND(SUMIFS(Data!$D$2:$D$276,Data!$A$2:$A$276,$A21,Data!$B$2:$B$276,E$3),2)</f>
        <v>-15.54</v>
      </c>
      <c r="F21" s="6" t="n">
        <f aca="false">ROUND(SUMIFS(Data!$D$2:$D$276,Data!$A$2:$A$276,$A21,Data!$B$2:$B$276,F$3),2)</f>
        <v>-15.74</v>
      </c>
      <c r="G21" s="6" t="n">
        <f aca="false">ROUND(SUMIFS(Data!$D$2:$D$276,Data!$A$2:$A$276,$A21,Data!$B$2:$B$276,G$3),2)</f>
        <v>-15.49</v>
      </c>
      <c r="H21" s="6" t="n">
        <f aca="false">ROUND(SUMIFS(Data!$D$2:$D$276,Data!$A$2:$A$276,$A21,Data!$B$2:$B$276,H$3),2)</f>
        <v>-15.53</v>
      </c>
      <c r="I21" s="6" t="n">
        <f aca="false">ROUND(SUMIFS(Data!$D$2:$D$276,Data!$A$2:$A$276,$A21,Data!$B$2:$B$276,I$3),2)</f>
        <v>-15.65</v>
      </c>
      <c r="J21" s="6" t="n">
        <f aca="false">ROUND(SUMIFS(Data!$D$2:$D$276,Data!$A$2:$A$276,$A21,Data!$B$2:$B$276,J$3),2)</f>
        <v>-15.49</v>
      </c>
      <c r="K21" s="6" t="n">
        <f aca="false">ROUND(SUMIFS(Data!$D$2:$D$276,Data!$A$2:$A$276,$A21,Data!$B$2:$B$276,K$3),2)</f>
        <v>-15.65</v>
      </c>
      <c r="L21" s="6" t="n">
        <f aca="false">ROUND(SUMIFS(Data!$D$2:$D$276,Data!$A$2:$A$276,$A21,Data!$B$2:$B$276,L$3),2)</f>
        <v>-15.61</v>
      </c>
    </row>
    <row r="22" customFormat="false" ht="15" hidden="false" customHeight="false" outlineLevel="0" collapsed="false">
      <c r="A22" s="10" t="s">
        <v>22</v>
      </c>
      <c r="B22" s="6" t="n">
        <f aca="false">ROUND(SUMIFS(Data!$D$2:$D$276,Data!$A$2:$A$276,$A22,Data!$B$2:$B$276,B$3),2)</f>
        <v>-15.1</v>
      </c>
      <c r="C22" s="6" t="n">
        <f aca="false">ROUND(SUMIFS(Data!$D$2:$D$276,Data!$A$2:$A$276,$A22,Data!$B$2:$B$276,C$3),2)</f>
        <v>-15.95</v>
      </c>
      <c r="D22" s="6" t="n">
        <f aca="false">ROUND(SUMIFS(Data!$D$2:$D$276,Data!$A$2:$A$276,$A22,Data!$B$2:$B$276,D$3),2)</f>
        <v>-15.88</v>
      </c>
      <c r="E22" s="6" t="n">
        <f aca="false">ROUND(SUMIFS(Data!$D$2:$D$276,Data!$A$2:$A$276,$A22,Data!$B$2:$B$276,E$3),2)</f>
        <v>-16.4</v>
      </c>
      <c r="F22" s="6" t="n">
        <f aca="false">ROUND(SUMIFS(Data!$D$2:$D$276,Data!$A$2:$A$276,$A22,Data!$B$2:$B$276,F$3),2)</f>
        <v>-16.43</v>
      </c>
      <c r="G22" s="6" t="n">
        <f aca="false">ROUND(SUMIFS(Data!$D$2:$D$276,Data!$A$2:$A$276,$A22,Data!$B$2:$B$276,G$3),2)</f>
        <v>-16.29</v>
      </c>
      <c r="H22" s="6" t="n">
        <f aca="false">ROUND(SUMIFS(Data!$D$2:$D$276,Data!$A$2:$A$276,$A22,Data!$B$2:$B$276,H$3),2)</f>
        <v>-16.23</v>
      </c>
      <c r="I22" s="6" t="n">
        <f aca="false">ROUND(SUMIFS(Data!$D$2:$D$276,Data!$A$2:$A$276,$A22,Data!$B$2:$B$276,I$3),2)</f>
        <v>-16.14</v>
      </c>
      <c r="J22" s="6" t="n">
        <f aca="false">ROUND(SUMIFS(Data!$D$2:$D$276,Data!$A$2:$A$276,$A22,Data!$B$2:$B$276,J$3),2)</f>
        <v>-16.13</v>
      </c>
      <c r="K22" s="6" t="n">
        <f aca="false">ROUND(SUMIFS(Data!$D$2:$D$276,Data!$A$2:$A$276,$A22,Data!$B$2:$B$276,K$3),2)</f>
        <v>-16.32</v>
      </c>
      <c r="L22" s="6" t="n">
        <f aca="false">ROUND(SUMIFS(Data!$D$2:$D$276,Data!$A$2:$A$276,$A22,Data!$B$2:$B$276,L$3),2)</f>
        <v>-16.29</v>
      </c>
    </row>
    <row r="23" customFormat="false" ht="15" hidden="false" customHeight="false" outlineLevel="0" collapsed="false">
      <c r="A23" s="10" t="s">
        <v>23</v>
      </c>
      <c r="B23" s="6" t="n">
        <f aca="false">ROUND(SUMIFS(Data!$D$2:$D$276,Data!$A$2:$A$276,$A23,Data!$B$2:$B$276,B$3),2)</f>
        <v>-14.36</v>
      </c>
      <c r="C23" s="6" t="n">
        <f aca="false">ROUND(SUMIFS(Data!$D$2:$D$276,Data!$A$2:$A$276,$A23,Data!$B$2:$B$276,C$3),2)</f>
        <v>-15.27</v>
      </c>
      <c r="D23" s="6" t="n">
        <f aca="false">ROUND(SUMIFS(Data!$D$2:$D$276,Data!$A$2:$A$276,$A23,Data!$B$2:$B$276,D$3),2)</f>
        <v>-15.12</v>
      </c>
      <c r="E23" s="6" t="n">
        <f aca="false">ROUND(SUMIFS(Data!$D$2:$D$276,Data!$A$2:$A$276,$A23,Data!$B$2:$B$276,E$3),2)</f>
        <v>-15.05</v>
      </c>
      <c r="F23" s="6" t="n">
        <f aca="false">ROUND(SUMIFS(Data!$D$2:$D$276,Data!$A$2:$A$276,$A23,Data!$B$2:$B$276,F$3),2)</f>
        <v>-15.36</v>
      </c>
      <c r="G23" s="6" t="n">
        <f aca="false">ROUND(SUMIFS(Data!$D$2:$D$276,Data!$A$2:$A$276,$A23,Data!$B$2:$B$276,G$3),2)</f>
        <v>-15.2</v>
      </c>
      <c r="H23" s="6" t="n">
        <f aca="false">ROUND(SUMIFS(Data!$D$2:$D$276,Data!$A$2:$A$276,$A23,Data!$B$2:$B$276,H$3),2)</f>
        <v>-15.21</v>
      </c>
      <c r="I23" s="6" t="n">
        <f aca="false">ROUND(SUMIFS(Data!$D$2:$D$276,Data!$A$2:$A$276,$A23,Data!$B$2:$B$276,I$3),2)</f>
        <v>-15.05</v>
      </c>
      <c r="J23" s="6" t="n">
        <f aca="false">ROUND(SUMIFS(Data!$D$2:$D$276,Data!$A$2:$A$276,$A23,Data!$B$2:$B$276,J$3),2)</f>
        <v>-14.78</v>
      </c>
      <c r="K23" s="6" t="n">
        <f aca="false">ROUND(SUMIFS(Data!$D$2:$D$276,Data!$A$2:$A$276,$A23,Data!$B$2:$B$276,K$3),2)</f>
        <v>-15.14</v>
      </c>
      <c r="L23" s="6" t="n">
        <f aca="false">ROUND(SUMIFS(Data!$D$2:$D$276,Data!$A$2:$A$276,$A23,Data!$B$2:$B$276,L$3),2)</f>
        <v>-15.07</v>
      </c>
    </row>
    <row r="24" customFormat="false" ht="15" hidden="false" customHeight="false" outlineLevel="0" collapsed="false">
      <c r="A24" s="10" t="s">
        <v>24</v>
      </c>
      <c r="B24" s="6" t="n">
        <f aca="false">ROUND(SUMIFS(Data!$D$2:$D$276,Data!$A$2:$A$276,$A24,Data!$B$2:$B$276,B$3),2)</f>
        <v>-14.68</v>
      </c>
      <c r="C24" s="6" t="n">
        <f aca="false">ROUND(SUMIFS(Data!$D$2:$D$276,Data!$A$2:$A$276,$A24,Data!$B$2:$B$276,C$3),2)</f>
        <v>-15.38</v>
      </c>
      <c r="D24" s="6" t="n">
        <f aca="false">ROUND(SUMIFS(Data!$D$2:$D$276,Data!$A$2:$A$276,$A24,Data!$B$2:$B$276,D$3),2)</f>
        <v>-15.24</v>
      </c>
      <c r="E24" s="6" t="n">
        <f aca="false">ROUND(SUMIFS(Data!$D$2:$D$276,Data!$A$2:$A$276,$A24,Data!$B$2:$B$276,E$3),2)</f>
        <v>-15.39</v>
      </c>
      <c r="F24" s="6" t="n">
        <f aca="false">ROUND(SUMIFS(Data!$D$2:$D$276,Data!$A$2:$A$276,$A24,Data!$B$2:$B$276,F$3),2)</f>
        <v>-15.63</v>
      </c>
      <c r="G24" s="6" t="n">
        <f aca="false">ROUND(SUMIFS(Data!$D$2:$D$276,Data!$A$2:$A$276,$A24,Data!$B$2:$B$276,G$3),2)</f>
        <v>-15.5</v>
      </c>
      <c r="H24" s="6" t="n">
        <f aca="false">ROUND(SUMIFS(Data!$D$2:$D$276,Data!$A$2:$A$276,$A24,Data!$B$2:$B$276,H$3),2)</f>
        <v>-15.42</v>
      </c>
      <c r="I24" s="6" t="n">
        <f aca="false">ROUND(SUMIFS(Data!$D$2:$D$276,Data!$A$2:$A$276,$A24,Data!$B$2:$B$276,I$3),2)</f>
        <v>-15.43</v>
      </c>
      <c r="J24" s="6" t="n">
        <f aca="false">ROUND(SUMIFS(Data!$D$2:$D$276,Data!$A$2:$A$276,$A24,Data!$B$2:$B$276,J$3),2)</f>
        <v>-15.43</v>
      </c>
      <c r="K24" s="6" t="n">
        <f aca="false">ROUND(SUMIFS(Data!$D$2:$D$276,Data!$A$2:$A$276,$A24,Data!$B$2:$B$276,K$3),2)</f>
        <v>-15.41</v>
      </c>
      <c r="L24" s="6" t="n">
        <f aca="false">ROUND(SUMIFS(Data!$D$2:$D$276,Data!$A$2:$A$276,$A24,Data!$B$2:$B$276,L$3),2)</f>
        <v>-15.4</v>
      </c>
    </row>
    <row r="25" customFormat="false" ht="15" hidden="false" customHeight="false" outlineLevel="0" collapsed="false">
      <c r="A25" s="10" t="s">
        <v>25</v>
      </c>
      <c r="B25" s="6" t="n">
        <f aca="false">ROUND(SUMIFS(Data!$D$2:$D$276,Data!$A$2:$A$276,$A25,Data!$B$2:$B$276,B$3),2)</f>
        <v>-13.58</v>
      </c>
      <c r="C25" s="6" t="n">
        <f aca="false">ROUND(SUMIFS(Data!$D$2:$D$276,Data!$A$2:$A$276,$A25,Data!$B$2:$B$276,C$3),2)</f>
        <v>-14.95</v>
      </c>
      <c r="D25" s="6" t="n">
        <f aca="false">ROUND(SUMIFS(Data!$D$2:$D$276,Data!$A$2:$A$276,$A25,Data!$B$2:$B$276,D$3),2)</f>
        <v>-14.51</v>
      </c>
      <c r="E25" s="6" t="n">
        <f aca="false">ROUND(SUMIFS(Data!$D$2:$D$276,Data!$A$2:$A$276,$A25,Data!$B$2:$B$276,E$3),2)</f>
        <v>-14.83</v>
      </c>
      <c r="F25" s="6" t="n">
        <f aca="false">ROUND(SUMIFS(Data!$D$2:$D$276,Data!$A$2:$A$276,$A25,Data!$B$2:$B$276,F$3),2)</f>
        <v>-14.6</v>
      </c>
      <c r="G25" s="6" t="n">
        <f aca="false">ROUND(SUMIFS(Data!$D$2:$D$276,Data!$A$2:$A$276,$A25,Data!$B$2:$B$276,G$3),2)</f>
        <v>-14.76</v>
      </c>
      <c r="H25" s="6" t="n">
        <f aca="false">ROUND(SUMIFS(Data!$D$2:$D$276,Data!$A$2:$A$276,$A25,Data!$B$2:$B$276,H$3),2)</f>
        <v>-14.97</v>
      </c>
      <c r="I25" s="6" t="n">
        <f aca="false">ROUND(SUMIFS(Data!$D$2:$D$276,Data!$A$2:$A$276,$A25,Data!$B$2:$B$276,I$3),2)</f>
        <v>-14.38</v>
      </c>
      <c r="J25" s="6" t="n">
        <f aca="false">ROUND(SUMIFS(Data!$D$2:$D$276,Data!$A$2:$A$276,$A25,Data!$B$2:$B$276,J$3),2)</f>
        <v>-14.8</v>
      </c>
      <c r="K25" s="6" t="n">
        <f aca="false">ROUND(SUMIFS(Data!$D$2:$D$276,Data!$A$2:$A$276,$A25,Data!$B$2:$B$276,K$3),2)</f>
        <v>-14.67</v>
      </c>
      <c r="L25" s="6" t="n">
        <f aca="false">ROUND(SUMIFS(Data!$D$2:$D$276,Data!$A$2:$A$276,$A25,Data!$B$2:$B$276,L$3),2)</f>
        <v>-14.62</v>
      </c>
    </row>
    <row r="26" customFormat="false" ht="15" hidden="false" customHeight="false" outlineLevel="0" collapsed="false">
      <c r="A26" s="10" t="s">
        <v>26</v>
      </c>
      <c r="B26" s="6" t="n">
        <f aca="false">ROUND(SUMIFS(Data!$D$2:$D$276,Data!$A$2:$A$276,$A26,Data!$B$2:$B$276,B$3),2)</f>
        <v>-14.41</v>
      </c>
      <c r="C26" s="6" t="n">
        <f aca="false">ROUND(SUMIFS(Data!$D$2:$D$276,Data!$A$2:$A$276,$A26,Data!$B$2:$B$276,C$3),2)</f>
        <v>-15.39</v>
      </c>
      <c r="D26" s="6" t="n">
        <f aca="false">ROUND(SUMIFS(Data!$D$2:$D$276,Data!$A$2:$A$276,$A26,Data!$B$2:$B$276,D$3),2)</f>
        <v>-15.31</v>
      </c>
      <c r="E26" s="6" t="n">
        <f aca="false">ROUND(SUMIFS(Data!$D$2:$D$276,Data!$A$2:$A$276,$A26,Data!$B$2:$B$276,E$3),2)</f>
        <v>-15.3</v>
      </c>
      <c r="F26" s="6" t="n">
        <f aca="false">ROUND(SUMIFS(Data!$D$2:$D$276,Data!$A$2:$A$276,$A26,Data!$B$2:$B$276,F$3),2)</f>
        <v>-15.55</v>
      </c>
      <c r="G26" s="6" t="n">
        <f aca="false">ROUND(SUMIFS(Data!$D$2:$D$276,Data!$A$2:$A$276,$A26,Data!$B$2:$B$276,G$3),2)</f>
        <v>-15.52</v>
      </c>
      <c r="H26" s="6" t="n">
        <f aca="false">ROUND(SUMIFS(Data!$D$2:$D$276,Data!$A$2:$A$276,$A26,Data!$B$2:$B$276,H$3),2)</f>
        <v>-15.51</v>
      </c>
      <c r="I26" s="6" t="n">
        <f aca="false">ROUND(SUMIFS(Data!$D$2:$D$276,Data!$A$2:$A$276,$A26,Data!$B$2:$B$276,I$3),2)</f>
        <v>-15.2</v>
      </c>
      <c r="J26" s="6" t="n">
        <f aca="false">ROUND(SUMIFS(Data!$D$2:$D$276,Data!$A$2:$A$276,$A26,Data!$B$2:$B$276,J$3),2)</f>
        <v>-15.1</v>
      </c>
      <c r="K26" s="6" t="n">
        <f aca="false">ROUND(SUMIFS(Data!$D$2:$D$276,Data!$A$2:$A$276,$A26,Data!$B$2:$B$276,K$3),2)</f>
        <v>-15.44</v>
      </c>
      <c r="L26" s="6" t="n">
        <f aca="false">ROUND(SUMIFS(Data!$D$2:$D$276,Data!$A$2:$A$276,$A26,Data!$B$2:$B$276,L$3),2)</f>
        <v>-15.31</v>
      </c>
    </row>
    <row r="27" customFormat="false" ht="15" hidden="false" customHeight="false" outlineLevel="0" collapsed="false">
      <c r="A27" s="10" t="s">
        <v>27</v>
      </c>
      <c r="B27" s="6" t="n">
        <f aca="false">ROUND(SUMIFS(Data!$D$2:$D$276,Data!$A$2:$A$276,$A27,Data!$B$2:$B$276,B$3),2)</f>
        <v>-15.53</v>
      </c>
      <c r="C27" s="6" t="n">
        <f aca="false">ROUND(SUMIFS(Data!$D$2:$D$276,Data!$A$2:$A$276,$A27,Data!$B$2:$B$276,C$3),2)</f>
        <v>-16.25</v>
      </c>
      <c r="D27" s="6" t="n">
        <f aca="false">ROUND(SUMIFS(Data!$D$2:$D$276,Data!$A$2:$A$276,$A27,Data!$B$2:$B$276,D$3),2)</f>
        <v>-16.29</v>
      </c>
      <c r="E27" s="6" t="n">
        <f aca="false">ROUND(SUMIFS(Data!$D$2:$D$276,Data!$A$2:$A$276,$A27,Data!$B$2:$B$276,E$3),2)</f>
        <v>-16.46</v>
      </c>
      <c r="F27" s="6" t="n">
        <f aca="false">ROUND(SUMIFS(Data!$D$2:$D$276,Data!$A$2:$A$276,$A27,Data!$B$2:$B$276,F$3),2)</f>
        <v>-16.61</v>
      </c>
      <c r="G27" s="6" t="n">
        <f aca="false">ROUND(SUMIFS(Data!$D$2:$D$276,Data!$A$2:$A$276,$A27,Data!$B$2:$B$276,G$3),2)</f>
        <v>-16.32</v>
      </c>
      <c r="H27" s="6" t="n">
        <f aca="false">ROUND(SUMIFS(Data!$D$2:$D$276,Data!$A$2:$A$276,$A27,Data!$B$2:$B$276,H$3),2)</f>
        <v>-16.41</v>
      </c>
      <c r="I27" s="6" t="n">
        <f aca="false">ROUND(SUMIFS(Data!$D$2:$D$276,Data!$A$2:$A$276,$A27,Data!$B$2:$B$276,I$3),2)</f>
        <v>-16.49</v>
      </c>
      <c r="J27" s="6" t="n">
        <f aca="false">ROUND(SUMIFS(Data!$D$2:$D$276,Data!$A$2:$A$276,$A27,Data!$B$2:$B$276,J$3),2)</f>
        <v>-16.49</v>
      </c>
      <c r="K27" s="6" t="n">
        <f aca="false">ROUND(SUMIFS(Data!$D$2:$D$276,Data!$A$2:$A$276,$A27,Data!$B$2:$B$276,K$3),2)</f>
        <v>-16.57</v>
      </c>
      <c r="L27" s="6" t="n">
        <f aca="false">ROUND(SUMIFS(Data!$D$2:$D$276,Data!$A$2:$A$276,$A27,Data!$B$2:$B$276,L$3),2)</f>
        <v>-16.51</v>
      </c>
    </row>
    <row r="28" customFormat="false" ht="15" hidden="false" customHeight="false" outlineLevel="0" collapsed="false">
      <c r="A28" s="10" t="s">
        <v>28</v>
      </c>
      <c r="B28" s="6" t="n">
        <f aca="false">ROUND(SUMIFS(Data!$D$2:$D$276,Data!$A$2:$A$276,$A28,Data!$B$2:$B$276,B$3),2)</f>
        <v>-15.05</v>
      </c>
      <c r="C28" s="6" t="n">
        <f aca="false">ROUND(SUMIFS(Data!$D$2:$D$276,Data!$A$2:$A$276,$A28,Data!$B$2:$B$276,C$3),2)</f>
        <v>-15.67</v>
      </c>
      <c r="D28" s="6" t="n">
        <f aca="false">ROUND(SUMIFS(Data!$D$2:$D$276,Data!$A$2:$A$276,$A28,Data!$B$2:$B$276,D$3),2)</f>
        <v>-15.55</v>
      </c>
      <c r="E28" s="6" t="n">
        <f aca="false">ROUND(SUMIFS(Data!$D$2:$D$276,Data!$A$2:$A$276,$A28,Data!$B$2:$B$276,E$3),2)</f>
        <v>-15.45</v>
      </c>
      <c r="F28" s="6" t="n">
        <f aca="false">ROUND(SUMIFS(Data!$D$2:$D$276,Data!$A$2:$A$276,$A28,Data!$B$2:$B$276,F$3),2)</f>
        <v>-15.84</v>
      </c>
      <c r="G28" s="6" t="n">
        <f aca="false">ROUND(SUMIFS(Data!$D$2:$D$276,Data!$A$2:$A$276,$A28,Data!$B$2:$B$276,G$3),2)</f>
        <v>-15.58</v>
      </c>
      <c r="H28" s="6" t="n">
        <f aca="false">ROUND(SUMIFS(Data!$D$2:$D$276,Data!$A$2:$A$276,$A28,Data!$B$2:$B$276,H$3),2)</f>
        <v>-15.63</v>
      </c>
      <c r="I28" s="6" t="n">
        <f aca="false">ROUND(SUMIFS(Data!$D$2:$D$276,Data!$A$2:$A$276,$A28,Data!$B$2:$B$276,I$3),2)</f>
        <v>-15.49</v>
      </c>
      <c r="J28" s="6" t="n">
        <f aca="false">ROUND(SUMIFS(Data!$D$2:$D$276,Data!$A$2:$A$276,$A28,Data!$B$2:$B$276,J$3),2)</f>
        <v>-15.28</v>
      </c>
      <c r="K28" s="6" t="n">
        <f aca="false">ROUND(SUMIFS(Data!$D$2:$D$276,Data!$A$2:$A$276,$A28,Data!$B$2:$B$276,K$3),2)</f>
        <v>-15.7</v>
      </c>
      <c r="L28" s="6" t="n">
        <f aca="false">ROUND(SUMIFS(Data!$D$2:$D$276,Data!$A$2:$A$276,$A28,Data!$B$2:$B$276,L$3),2)</f>
        <v>-15.61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8"/>
  </cols>
  <sheetData>
    <row r="1" customFormat="false" ht="17.35" hidden="false" customHeight="false" outlineLevel="0" collapsed="false">
      <c r="A1" s="13" t="s">
        <v>40</v>
      </c>
    </row>
    <row r="2" customFormat="false" ht="15" hidden="false" customHeight="false" outlineLevel="0" collapsed="false">
      <c r="A2" s="14"/>
    </row>
    <row r="3" customFormat="false" ht="25.35" hidden="false" customHeight="false" outlineLevel="0" collapsed="false">
      <c r="A3" s="15" t="s">
        <v>41</v>
      </c>
    </row>
    <row r="4" customFormat="false" ht="15" hidden="false" customHeight="false" outlineLevel="0" collapsed="false">
      <c r="A4" s="14"/>
    </row>
    <row r="5" customFormat="false" ht="37.3" hidden="false" customHeight="false" outlineLevel="0" collapsed="false">
      <c r="A5" s="15" t="s">
        <v>42</v>
      </c>
    </row>
    <row r="6" customFormat="false" ht="15" hidden="false" customHeight="false" outlineLevel="0" collapsed="false">
      <c r="A6" s="14"/>
    </row>
    <row r="7" customFormat="false" ht="25.35" hidden="false" customHeight="false" outlineLevel="0" collapsed="false">
      <c r="A7" s="15" t="s">
        <v>43</v>
      </c>
    </row>
    <row r="8" customFormat="false" ht="15" hidden="false" customHeight="false" outlineLevel="0" collapsed="false">
      <c r="A8" s="14"/>
    </row>
    <row r="9" customFormat="false" ht="49.25" hidden="false" customHeight="false" outlineLevel="0" collapsed="false">
      <c r="A9" s="15" t="s">
        <v>44</v>
      </c>
    </row>
    <row r="10" customFormat="false" ht="15" hidden="false" customHeight="false" outlineLevel="0" collapsed="false">
      <c r="A10" s="14"/>
    </row>
    <row r="11" customFormat="false" ht="25.35" hidden="false" customHeight="false" outlineLevel="0" collapsed="false">
      <c r="A11" s="15" t="s">
        <v>45</v>
      </c>
    </row>
    <row r="12" customFormat="false" ht="15" hidden="false" customHeight="false" outlineLevel="0" collapsed="false">
      <c r="A12" s="14"/>
    </row>
    <row r="13" customFormat="false" ht="37.3" hidden="false" customHeight="false" outlineLevel="0" collapsed="false">
      <c r="A13" s="15" t="s">
        <v>46</v>
      </c>
    </row>
    <row r="14" customFormat="false" ht="15" hidden="false" customHeight="false" outlineLevel="0" collapsed="false">
      <c r="A14" s="14"/>
    </row>
    <row r="15" customFormat="false" ht="37.3" hidden="false" customHeight="false" outlineLevel="0" collapsed="false">
      <c r="A15" s="15" t="s">
        <v>47</v>
      </c>
    </row>
    <row r="16" customFormat="false" ht="15" hidden="false" customHeight="false" outlineLevel="0" collapsed="false">
      <c r="A16" s="14"/>
    </row>
    <row r="17" customFormat="false" ht="25.35" hidden="false" customHeight="false" outlineLevel="0" collapsed="false">
      <c r="A17" s="15" t="s">
        <v>48</v>
      </c>
    </row>
    <row r="18" customFormat="false" ht="15" hidden="false" customHeight="false" outlineLevel="0" collapsed="false">
      <c r="A18" s="14"/>
    </row>
    <row r="19" customFormat="false" ht="22.35" hidden="false" customHeight="false" outlineLevel="0" collapsed="false">
      <c r="A19" s="16" t="s">
        <v>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2026-08-31T08:15:23Z</dcterms:created>
  <dc:creator>openpyxl</dc:creator>
  <dc:description/>
  <dc:language>en-US</dc:language>
  <cp:lastModifiedBy/>
  <dcterms:modified xsi:type="dcterms:W3CDTF">2026-08-31T08:15:38Z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