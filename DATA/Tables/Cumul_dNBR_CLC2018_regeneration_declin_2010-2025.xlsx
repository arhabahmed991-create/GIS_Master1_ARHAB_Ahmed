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mul_2010_2025" sheetId="1" state="visible" r:id="rId3"/>
    <sheet name="Evolution_annuelle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<sst xmlns="http://schemas.openxmlformats.org/spreadsheetml/2006/main" count="284" uniqueCount="88">
  <si>
    <t xml:space="preserve">Tableau cumulé de sévérité dNBR x classe de végétation (2010-2025)</t>
  </si>
  <si>
    <t xml:space="preserve">Massifs forestiers des Bouches-du-Rhône (25 massifs, shapefile MASSIFS_FORESTIERS_S_013) — grille commune 30 m, Lambert-93 (EPSG:2154) — unité : hectares-année, cumul de 15 périodes annuelles (2010-2011 à 2024-2025)</t>
  </si>
  <si>
    <t xml:space="preserve">Classe de végétation (CLC2018)</t>
  </si>
  <si>
    <t xml:space="preserve">Code CLC</t>
  </si>
  <si>
    <t xml:space="preserve">Forte régén.
(dNBR &lt; -0.25)</t>
  </si>
  <si>
    <t xml:space="preserve">Régén. faible
(-0.25 à -0.10)</t>
  </si>
  <si>
    <t xml:space="preserve">Stable
(-0.10 à 0.10)</t>
  </si>
  <si>
    <t xml:space="preserve">Sévérité faible
(0.10 à 0.27)</t>
  </si>
  <si>
    <t xml:space="preserve">Sévérité mod.-faible
(0.27 à 0.44)</t>
  </si>
  <si>
    <t xml:space="preserve">Sévérité mod.-forte
(0.44 à 0.66)</t>
  </si>
  <si>
    <t xml:space="preserve">Sévérité forte
(&gt; 0.66)</t>
  </si>
  <si>
    <t xml:space="preserve">Total
(ha-année)</t>
  </si>
  <si>
    <t xml:space="preserve">Régénération totale
(ha-année)</t>
  </si>
  <si>
    <t xml:space="preserve">Déclin total
(ha-année)</t>
  </si>
  <si>
    <t xml:space="preserve">Net
(Régén. - Déclin)</t>
  </si>
  <si>
    <t xml:space="preserve">Indicateur</t>
  </si>
  <si>
    <t xml:space="preserve">Net moyen annuel
(ha/an)</t>
  </si>
  <si>
    <t xml:space="preserve">Forêt de feuillus</t>
  </si>
  <si>
    <t xml:space="preserve">Forêt de conifères</t>
  </si>
  <si>
    <t xml:space="preserve">Forêt mélangée</t>
  </si>
  <si>
    <t xml:space="preserve">Pelouses naturelles</t>
  </si>
  <si>
    <t xml:space="preserve">Landes et broussailles</t>
  </si>
  <si>
    <t xml:space="preserve">Végétation sclérophylle</t>
  </si>
  <si>
    <t xml:space="preserve">Forêt et végétation arbustive en mutation</t>
  </si>
  <si>
    <t xml:space="preserve">TOTAL (7 classes de végétation)</t>
  </si>
  <si>
    <t xml:space="preserve">Notes :</t>
  </si>
  <si>
    <t xml:space="preserve">• « Régénération totale » = surface (ha-année) où dNBR &lt; -0.10 (post-feu, signal de reverdissement/régénération de la végétation).</t>
  </si>
  <si>
    <t xml:space="preserve">• « Déclin total » = surface (ha-année) où dNBR &gt; 0.10 (signature de sévérité de brûlure / dépérissement de la végétation).</t>
  </si>
  <si>
    <t xml:space="preserve">• « Net » = Régénération totale − Déclin total. Un Net positif indique que la classe se régénère davantage qu'elle ne dépérit sur 2010-2025 (et inversement).</t>
  </si>
  <si>
    <t xml:space="preserve">• Les valeurs sont en « hectares-année » : chaque hectare est compté une fois par période annuelle où il présente la classe dNBR indiquée (cumul sur 15 périodes, pas une surface distincte).</t>
  </si>
  <si>
    <t xml:space="preserve">• La classe CLC 322 (Landes et broussailles) est absente du territoire des massifs forestiers des Bouches-du-Rhône : toutes ses valeurs sont nulles (0 ha), ce n'est pas une anomalie de calcul.</t>
  </si>
  <si>
    <t xml:space="preserve">• Méthodologie complète, sources et hypothèses détaillées dans l'onglet « Notes ».</t>
  </si>
  <si>
    <t xml:space="preserve">Évolution annuelle : régénération vs déclin par classe de végétation (2010-2025)</t>
  </si>
  <si>
    <t xml:space="preserve">Une ligne par période annuelle x classe de végétation. Régén./Stable/Déclin en hectares (surface réelle de cette période, pas cumulée).</t>
  </si>
  <si>
    <t xml:space="preserve">Période</t>
  </si>
  <si>
    <t xml:space="preserve">Classe de végétation</t>
  </si>
  <si>
    <t xml:space="preserve">Régén. (ha)</t>
  </si>
  <si>
    <t xml:space="preserve">Stable (ha)</t>
  </si>
  <si>
    <t xml:space="preserve">Déclin (ha)</t>
  </si>
  <si>
    <t xml:space="preserve">Net (ha)</t>
  </si>
  <si>
    <t xml:space="preserve">2010-2011</t>
  </si>
  <si>
    <t xml:space="preserve">2011-2012</t>
  </si>
  <si>
    <t xml:space="preserve">2012-2013</t>
  </si>
  <si>
    <t xml:space="preserve">2013-2014</t>
  </si>
  <si>
    <t xml:space="preserve">2014-2015</t>
  </si>
  <si>
    <t xml:space="preserve">2015-2016</t>
  </si>
  <si>
    <t xml:space="preserve">2016-2017</t>
  </si>
  <si>
    <t xml:space="preserve">2017-2018</t>
  </si>
  <si>
    <t xml:space="preserve">2018-2019</t>
  </si>
  <si>
    <t xml:space="preserve">2019-2020</t>
  </si>
  <si>
    <t xml:space="preserve">2020-2021</t>
  </si>
  <si>
    <t xml:space="preserve">2021-2022</t>
  </si>
  <si>
    <t xml:space="preserve">2022-2023</t>
  </si>
  <si>
    <t xml:space="preserve">2023-2024</t>
  </si>
  <si>
    <t xml:space="preserve">2024-2025</t>
  </si>
  <si>
    <t xml:space="preserve">Notes méthodologiques</t>
  </si>
  <si>
    <t xml:space="preserve">Objectif</t>
  </si>
  <si>
    <t xml:space="preserve">Identifier, à partir du spectre complet du dNBR (régénération et sévérité de brûlure), quelles classes de végétation (CLC2018) se régénèrent nettement et lesquelles dépérissent, sur l'ensemble des massifs forestiers des Bouches-du-Rhône, 2010-2025.</t>
  </si>
  <si>
    <t xml:space="preserve">Sources de données</t>
  </si>
  <si>
    <t xml:space="preserve">1) dNBR pré-calculé par période annuelle (2010-2011 à 2024-2025, 15 périodes), exporté depuis Google Earth Engine par l'utilisateur (fichiers dNBR_AAAA_AAAA.tif, résolution native ≈ 30 m, CRS d'origine EPSG:4326).</t>
  </si>
  <si>
    <t xml:space="preserve">2) Occupation du sol CORINE Land Cover 2018 (CLC2018), raster occupation_sol_CLC2018_massifs_forestiers_BDR13.tif, résolution native 100 m, CRS EPSG:2154 (Lambert-93).</t>
  </si>
  <si>
    <t xml:space="preserve">3) Shapefile des 25 massifs forestiers des Bouches-du-Rhône (MASSIFS_FORESTIERS_S_013), CRS EPSG:2154, attribut 'nom_massif'.</t>
  </si>
  <si>
    <t xml:space="preserve">Grille commune de calcul</t>
  </si>
  <si>
    <t xml:space="preserve">Toutes les couches ont été ré-échantillonnées sur une grille commune en Lambert-93 (EPSG:2154), résolution 30 m, calée sur l'emprise du raster CLC (833500–926900 Est, 6232200–6313100 Nord). Le dNBR (continu) est ré-échantillonné par interpolation bilinéaire ; le CLC2018 (catégoriel) est ré-échantillonné par plus-proche-voisin pour préserver les classes d'origine.</t>
  </si>
  <si>
    <t xml:space="preserve">Masque d'analyse</t>
  </si>
  <si>
    <t xml:space="preserve">Seuls les pixels (a) situés à l'intérieur du polygone des massifs forestiers ET (b) classés dans l'une des 7 classes de végétation CLC2018 ci-dessous sont retenus. Les zones non forestières/non naturelles (bâti, agriculture, eau, etc.) sont exclues du tableau.</t>
  </si>
  <si>
    <t xml:space="preserve">Classes de végétation retenues (CLC2018)</t>
  </si>
  <si>
    <t xml:space="preserve">311 Forêt de feuillus · 312 Forêt de conifères · 313 Forêt mélangée · 321 Pelouses naturelles · 322 Landes et broussailles · 323 Végétation sclérophylle · 324 Forêt et végétation arbustive en mutation.</t>
  </si>
  <si>
    <t xml:space="preserve">Classe CLC 322 absente</t>
  </si>
  <si>
    <t xml:space="preserve">Le code CLC 322 (Landes et broussailles) n'existe pas dans l'emprise des massifs forestiers des Bouches-du-Rhône couverte par le raster fourni : ses valeurs sont donc à 0 ha dans tous les tableaux. Ce n'est pas une erreur de traitement.</t>
  </si>
  <si>
    <t xml:space="preserve">Classification dNBR (7 classes, seuils symétriques USGS/Key &amp; Benson)</t>
  </si>
  <si>
    <t xml:space="preserve">1. Forte régénération post-feu : dNBR &lt; -0.25</t>
  </si>
  <si>
    <t xml:space="preserve">2. Régénération faible : -0.25 ≤ dNBR &lt; -0.10</t>
  </si>
  <si>
    <t xml:space="preserve">3. Stable / non brûlé : -0.10 ≤ dNBR ≤ 0.10</t>
  </si>
  <si>
    <t xml:space="preserve">4. Sévérité faible : 0.10 &lt; dNBR ≤ 0.27</t>
  </si>
  <si>
    <t xml:space="preserve">5. Sévérité modérée-faible : 0.27 &lt; dNBR ≤ 0.44</t>
  </si>
  <si>
    <t xml:space="preserve">6. Sévérité modérée-forte : 0.44 &lt; dNBR ≤ 0.66</t>
  </si>
  <si>
    <t xml:space="preserve">7. Sévérité forte : dNBR &gt; 0.66</t>
  </si>
  <si>
    <t xml:space="preserve">Indicateur de régénération vs déclin</t>
  </si>
  <si>
    <t xml:space="preserve">Régénération totale = classes 1+2 (dNBR &lt; -0.10). Déclin total = classes 4+5+6+7 (dNBR &gt; 0.10). Net = Régénération totale − Déclin total. Un Net positif signale une classe de végétation qui se régénère davantage qu'elle ne dépérit sur la période 2010-2025 ; un Net négatif signale un dépérissement net.</t>
  </si>
  <si>
    <t xml:space="preserve">Unité « hectares-année »</t>
  </si>
  <si>
    <t xml:space="preserve">Le tableau « Cumul_2010_2025 » additionne les surfaces (ha) de chacune des 15 périodes annuelles. Un même hectare compté en sévérité 4 chaque année pendant 5 ans contribue pour 5 « hectares-année » à la colonne correspondante. Le total cumulé (≈ 2 096 711 ha-année) est donc environ 15 fois la surface réelle des massifs en classes de végétation retenues (≈ 139 781 ha), ce qui est cohérent (15 périodes).</t>
  </si>
  <si>
    <t xml:space="preserve">Onglet Evolution_annuelle</t>
  </si>
  <si>
    <t xml:space="preserve">Détaille, pour chaque période annuelle et chaque classe de végétation, les surfaces réelles (ha, non cumulées) en régénération / stable / déclin, permettant de repérer les années/événements (ex. incendies) responsables des pics de déclin.</t>
  </si>
  <si>
    <t xml:space="preserve">Limite CLC2018 fixe</t>
  </si>
  <si>
    <t xml:space="preserve">CLC2018 est une carte d'occupation du sol unique (millésime 2018) appliquée identiquement aux 15 périodes 2010-2025 : les changements d'occupation du sol antérieurs ou postérieurs à 2018 (reboisement, déforestation, urbanisation) ne sont pas pris en compte — seule la classe végétale de 2018 sert de référence spatiale constante.</t>
  </si>
  <si>
    <t xml:space="preserve">Traitement</t>
  </si>
  <si>
    <t xml:space="preserve">Reprojection, classification et calcul de surfaces réalisés en Python (rasterio, numpy) à partir des fichiers fournis par l'utilisateur, en dehors de Google Earth Engine (bascule décidée en raison de contraintes de quota de calcul GEE).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</si>
</sst>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i val="true"/>
      <sz val="9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F8F"/>
        <bgColor rgb="FF555555"/>
      </patternFill>
    </fill>
    <fill>
      <patternFill patternType="solid">
        <fgColor rgb="FFDCE6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2F5F8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5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4" min="12" style="0" width="13"/>
    <col collapsed="false" customWidth="true" hidden="false" outlineLevel="0" max="15" min="15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customFormat="false" ht="15" hidden="false" customHeight="false" outlineLevel="0" collapsed="false">
      <c r="A5" s="4" t="s">
        <v>17</v>
      </c>
      <c r="B5" s="4" t="n">
        <v>311</v>
      </c>
      <c r="C5" s="5" t="n">
        <v>43.83</v>
      </c>
      <c r="D5" s="5" t="n">
        <v>2531.52</v>
      </c>
      <c r="E5" s="5" t="n">
        <v>245771.46</v>
      </c>
      <c r="F5" s="5" t="n">
        <v>2569.86</v>
      </c>
      <c r="G5" s="5" t="n">
        <v>269.37</v>
      </c>
      <c r="H5" s="5" t="n">
        <v>17.91</v>
      </c>
      <c r="I5" s="5" t="n">
        <v>0</v>
      </c>
      <c r="J5" s="5" t="n">
        <f aca="false">SUM(C5:I5)</f>
        <v>251203.95</v>
      </c>
      <c r="K5" s="5" t="n">
        <f aca="false">C5+D5</f>
        <v>2575.35</v>
      </c>
      <c r="L5" s="5" t="n">
        <f aca="false">F5+G5+H5+I5</f>
        <v>2857.14</v>
      </c>
      <c r="M5" s="5" t="n">
        <f aca="false">K5-L5</f>
        <v>-281.79</v>
      </c>
      <c r="N5" s="6" t="str">
        <f aca="false">IF(M5&gt;0,"RÉGÉNÈRE",IF(M5&lt;0,"DÉPÉRIT","STABLE"))</f>
        <v>DÉPÉRIT</v>
      </c>
      <c r="O5" s="5" t="n">
        <f aca="false">M5/15</f>
        <v>-18.786</v>
      </c>
    </row>
    <row r="6" customFormat="false" ht="15" hidden="false" customHeight="false" outlineLevel="0" collapsed="false">
      <c r="A6" s="4" t="s">
        <v>18</v>
      </c>
      <c r="B6" s="4" t="n">
        <v>312</v>
      </c>
      <c r="C6" s="5" t="n">
        <v>45.09</v>
      </c>
      <c r="D6" s="5" t="n">
        <v>3194.37</v>
      </c>
      <c r="E6" s="5" t="n">
        <v>546656.4</v>
      </c>
      <c r="F6" s="5" t="n">
        <v>7407.36</v>
      </c>
      <c r="G6" s="5" t="n">
        <v>658.89</v>
      </c>
      <c r="H6" s="5" t="n">
        <v>189.9</v>
      </c>
      <c r="I6" s="5" t="n">
        <v>4.14</v>
      </c>
      <c r="J6" s="5" t="n">
        <f aca="false">SUM(C6:I6)</f>
        <v>558156.15</v>
      </c>
      <c r="K6" s="5" t="n">
        <f aca="false">C6+D6</f>
        <v>3239.46</v>
      </c>
      <c r="L6" s="5" t="n">
        <f aca="false">F6+G6+H6+I6</f>
        <v>8260.29</v>
      </c>
      <c r="M6" s="5" t="n">
        <f aca="false">K6-L6</f>
        <v>-5020.83</v>
      </c>
      <c r="N6" s="6" t="str">
        <f aca="false">IF(M6&gt;0,"RÉGÉNÈRE",IF(M6&lt;0,"DÉPÉRIT","STABLE"))</f>
        <v>DÉPÉRIT</v>
      </c>
      <c r="O6" s="5" t="n">
        <f aca="false">M6/15</f>
        <v>-334.722</v>
      </c>
    </row>
    <row r="7" customFormat="false" ht="15" hidden="false" customHeight="false" outlineLevel="0" collapsed="false">
      <c r="A7" s="4" t="s">
        <v>19</v>
      </c>
      <c r="B7" s="4" t="n">
        <v>313</v>
      </c>
      <c r="C7" s="5" t="n">
        <v>28.71</v>
      </c>
      <c r="D7" s="5" t="n">
        <v>1763.82</v>
      </c>
      <c r="E7" s="5" t="n">
        <v>205756.56</v>
      </c>
      <c r="F7" s="5" t="n">
        <v>2410.47</v>
      </c>
      <c r="G7" s="5" t="n">
        <v>142.02</v>
      </c>
      <c r="H7" s="5" t="n">
        <v>33.03</v>
      </c>
      <c r="I7" s="5" t="n">
        <v>0.99</v>
      </c>
      <c r="J7" s="5" t="n">
        <f aca="false">SUM(C7:I7)</f>
        <v>210135.6</v>
      </c>
      <c r="K7" s="5" t="n">
        <f aca="false">C7+D7</f>
        <v>1792.53</v>
      </c>
      <c r="L7" s="5" t="n">
        <f aca="false">F7+G7+H7+I7</f>
        <v>2586.51</v>
      </c>
      <c r="M7" s="5" t="n">
        <f aca="false">K7-L7</f>
        <v>-793.98</v>
      </c>
      <c r="N7" s="6" t="str">
        <f aca="false">IF(M7&gt;0,"RÉGÉNÈRE",IF(M7&lt;0,"DÉPÉRIT","STABLE"))</f>
        <v>DÉPÉRIT</v>
      </c>
      <c r="O7" s="5" t="n">
        <f aca="false">M7/15</f>
        <v>-52.932</v>
      </c>
    </row>
    <row r="8" customFormat="false" ht="15" hidden="false" customHeight="false" outlineLevel="0" collapsed="false">
      <c r="A8" s="4" t="s">
        <v>20</v>
      </c>
      <c r="B8" s="4" t="n">
        <v>321</v>
      </c>
      <c r="C8" s="5" t="n">
        <v>4.77</v>
      </c>
      <c r="D8" s="5" t="n">
        <v>718.47</v>
      </c>
      <c r="E8" s="5" t="n">
        <v>24311.97</v>
      </c>
      <c r="F8" s="5" t="n">
        <v>604.8</v>
      </c>
      <c r="G8" s="5" t="n">
        <v>51.48</v>
      </c>
      <c r="H8" s="5" t="n">
        <v>9.81</v>
      </c>
      <c r="I8" s="5" t="n">
        <v>0</v>
      </c>
      <c r="J8" s="5" t="n">
        <f aca="false">SUM(C8:I8)</f>
        <v>25701.3</v>
      </c>
      <c r="K8" s="5" t="n">
        <f aca="false">C8+D8</f>
        <v>723.24</v>
      </c>
      <c r="L8" s="5" t="n">
        <f aca="false">F8+G8+H8+I8</f>
        <v>666.09</v>
      </c>
      <c r="M8" s="5" t="n">
        <f aca="false">K8-L8</f>
        <v>57.1500000000001</v>
      </c>
      <c r="N8" s="6" t="str">
        <f aca="false">IF(M8&gt;0,"RÉGÉNÈRE",IF(M8&lt;0,"DÉPÉRIT","STABLE"))</f>
        <v>RÉGÉNÈRE</v>
      </c>
      <c r="O8" s="5" t="n">
        <f aca="false">M8/15</f>
        <v>3.81000000000001</v>
      </c>
    </row>
    <row r="9" customFormat="false" ht="15" hidden="false" customHeight="false" outlineLevel="0" collapsed="false">
      <c r="A9" s="4" t="s">
        <v>21</v>
      </c>
      <c r="B9" s="4" t="n">
        <v>322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f aca="false">SUM(C9:I9)</f>
        <v>0</v>
      </c>
      <c r="K9" s="5" t="n">
        <f aca="false">C9+D9</f>
        <v>0</v>
      </c>
      <c r="L9" s="5" t="n">
        <f aca="false">F9+G9+H9+I9</f>
        <v>0</v>
      </c>
      <c r="M9" s="5" t="n">
        <f aca="false">K9-L9</f>
        <v>0</v>
      </c>
      <c r="N9" s="6" t="str">
        <f aca="false">IF(M9&gt;0,"RÉGÉNÈRE",IF(M9&lt;0,"DÉPÉRIT","STABLE"))</f>
        <v>STABLE</v>
      </c>
      <c r="O9" s="5" t="n">
        <f aca="false">M9/15</f>
        <v>0</v>
      </c>
    </row>
    <row r="10" customFormat="false" ht="15" hidden="false" customHeight="false" outlineLevel="0" collapsed="false">
      <c r="A10" s="4" t="s">
        <v>22</v>
      </c>
      <c r="B10" s="4" t="n">
        <v>323</v>
      </c>
      <c r="C10" s="5" t="n">
        <v>87.48</v>
      </c>
      <c r="D10" s="5" t="n">
        <v>12559.41</v>
      </c>
      <c r="E10" s="5" t="n">
        <v>862896.96</v>
      </c>
      <c r="F10" s="5" t="n">
        <v>18181.35</v>
      </c>
      <c r="G10" s="5" t="n">
        <v>939.96</v>
      </c>
      <c r="H10" s="5" t="n">
        <v>82.98</v>
      </c>
      <c r="I10" s="5" t="n">
        <v>0.81</v>
      </c>
      <c r="J10" s="5" t="n">
        <f aca="false">SUM(C10:I10)</f>
        <v>894748.95</v>
      </c>
      <c r="K10" s="5" t="n">
        <f aca="false">C10+D10</f>
        <v>12646.89</v>
      </c>
      <c r="L10" s="5" t="n">
        <f aca="false">F10+G10+H10+I10</f>
        <v>19205.1</v>
      </c>
      <c r="M10" s="5" t="n">
        <f aca="false">K10-L10</f>
        <v>-6558.21</v>
      </c>
      <c r="N10" s="6" t="str">
        <f aca="false">IF(M10&gt;0,"RÉGÉNÈRE",IF(M10&lt;0,"DÉPÉRIT","STABLE"))</f>
        <v>DÉPÉRIT</v>
      </c>
      <c r="O10" s="5" t="n">
        <f aca="false">M10/15</f>
        <v>-437.214</v>
      </c>
    </row>
    <row r="11" customFormat="false" ht="15" hidden="false" customHeight="false" outlineLevel="0" collapsed="false">
      <c r="A11" s="4" t="s">
        <v>23</v>
      </c>
      <c r="B11" s="4" t="n">
        <v>324</v>
      </c>
      <c r="C11" s="5" t="n">
        <v>27.45</v>
      </c>
      <c r="D11" s="5" t="n">
        <v>2766.15</v>
      </c>
      <c r="E11" s="5" t="n">
        <v>150732.09</v>
      </c>
      <c r="F11" s="5" t="n">
        <v>2931.3</v>
      </c>
      <c r="G11" s="5" t="n">
        <v>246.06</v>
      </c>
      <c r="H11" s="5" t="n">
        <v>61.47</v>
      </c>
      <c r="I11" s="5" t="n">
        <v>0.18</v>
      </c>
      <c r="J11" s="5" t="n">
        <f aca="false">SUM(C11:I11)</f>
        <v>156764.7</v>
      </c>
      <c r="K11" s="5" t="n">
        <f aca="false">C11+D11</f>
        <v>2793.6</v>
      </c>
      <c r="L11" s="5" t="n">
        <f aca="false">F11+G11+H11+I11</f>
        <v>3239.01</v>
      </c>
      <c r="M11" s="5" t="n">
        <f aca="false">K11-L11</f>
        <v>-445.41</v>
      </c>
      <c r="N11" s="6" t="str">
        <f aca="false">IF(M11&gt;0,"RÉGÉNÈRE",IF(M11&lt;0,"DÉPÉRIT","STABLE"))</f>
        <v>DÉPÉRIT</v>
      </c>
      <c r="O11" s="5" t="n">
        <f aca="false">M11/15</f>
        <v>-29.694</v>
      </c>
    </row>
    <row r="12" customFormat="false" ht="15" hidden="false" customHeight="false" outlineLevel="0" collapsed="false">
      <c r="A12" s="7" t="s">
        <v>24</v>
      </c>
      <c r="B12" s="8"/>
      <c r="C12" s="9" t="n">
        <f aca="false">SUM(C5:C11)</f>
        <v>237.33</v>
      </c>
      <c r="D12" s="9" t="n">
        <f aca="false">SUM(D5:D11)</f>
        <v>23533.74</v>
      </c>
      <c r="E12" s="9" t="n">
        <f aca="false">SUM(E5:E11)</f>
        <v>2036125.44</v>
      </c>
      <c r="F12" s="9" t="n">
        <f aca="false">SUM(F5:F11)</f>
        <v>34105.14</v>
      </c>
      <c r="G12" s="9" t="n">
        <f aca="false">SUM(G5:G11)</f>
        <v>2307.78</v>
      </c>
      <c r="H12" s="9" t="n">
        <f aca="false">SUM(H5:H11)</f>
        <v>395.1</v>
      </c>
      <c r="I12" s="9" t="n">
        <f aca="false">SUM(I5:I11)</f>
        <v>6.12</v>
      </c>
      <c r="J12" s="9" t="n">
        <f aca="false">SUM(J5:J11)</f>
        <v>2096710.65</v>
      </c>
      <c r="K12" s="9" t="n">
        <f aca="false">SUM(K5:K11)</f>
        <v>23771.07</v>
      </c>
      <c r="L12" s="9" t="n">
        <f aca="false">SUM(L5:L11)</f>
        <v>36814.14</v>
      </c>
      <c r="M12" s="9" t="n">
        <f aca="false">SUM(M5:M11)</f>
        <v>-13043.07</v>
      </c>
      <c r="N12" s="10" t="str">
        <f aca="false">IF(M12&gt;0,"RÉGÉNÈRE",IF(M12&lt;0,"DÉPÉRIT","STABLE"))</f>
        <v>DÉPÉRIT</v>
      </c>
      <c r="O12" s="9" t="n">
        <f aca="false">SUM(O5:O11)</f>
        <v>-869.538</v>
      </c>
    </row>
    <row r="14" customFormat="false" ht="15" hidden="false" customHeight="false" outlineLevel="0" collapsed="false">
      <c r="A14" s="11" t="s">
        <v>25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customFormat="false" ht="15" hidden="false" customHeight="false" outlineLevel="0" collapsed="false">
      <c r="A15" s="12" t="s">
        <v>26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customFormat="false" ht="15" hidden="false" customHeight="false" outlineLevel="0" collapsed="false">
      <c r="A16" s="12" t="s">
        <v>27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customFormat="false" ht="15" hidden="false" customHeight="false" outlineLevel="0" collapsed="false">
      <c r="A17" s="12" t="s">
        <v>28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customFormat="false" ht="15" hidden="false" customHeight="false" outlineLevel="0" collapsed="false">
      <c r="A18" s="12" t="s">
        <v>29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customFormat="false" ht="15" hidden="false" customHeight="false" outlineLevel="0" collapsed="false">
      <c r="A19" s="12" t="s">
        <v>30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customFormat="false" ht="15" hidden="false" customHeight="false" outlineLevel="0" collapsed="false">
      <c r="A20" s="12" t="s">
        <v>31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</sheetData>
  <mergeCells count="9">
    <mergeCell ref="A1:O1"/>
    <mergeCell ref="A2:O2"/>
    <mergeCell ref="A14:O14"/>
    <mergeCell ref="A15:O15"/>
    <mergeCell ref="A16:O16"/>
    <mergeCell ref="A17:O17"/>
    <mergeCell ref="A18:O18"/>
    <mergeCell ref="A19:O19"/>
    <mergeCell ref="A20:O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9"/>
    <col collapsed="false" customWidth="true" hidden="false" outlineLevel="0" max="7" min="4" style="0" width="12"/>
  </cols>
  <sheetData>
    <row r="1" customFormat="false" ht="17.35" hidden="false" customHeight="false" outlineLevel="0" collapsed="false">
      <c r="A1" s="1" t="s">
        <v>32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33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13" t="s">
        <v>34</v>
      </c>
      <c r="B4" s="13" t="s">
        <v>35</v>
      </c>
      <c r="C4" s="13" t="s">
        <v>3</v>
      </c>
      <c r="D4" s="13" t="s">
        <v>36</v>
      </c>
      <c r="E4" s="13" t="s">
        <v>37</v>
      </c>
      <c r="F4" s="13" t="s">
        <v>38</v>
      </c>
      <c r="G4" s="13" t="s">
        <v>39</v>
      </c>
    </row>
    <row r="5" customFormat="false" ht="15" hidden="false" customHeight="false" outlineLevel="0" collapsed="false">
      <c r="A5" s="14" t="s">
        <v>40</v>
      </c>
      <c r="B5" s="14" t="s">
        <v>17</v>
      </c>
      <c r="C5" s="14" t="n">
        <v>311</v>
      </c>
      <c r="D5" s="5" t="n">
        <v>605.88</v>
      </c>
      <c r="E5" s="5" t="n">
        <v>15958.8</v>
      </c>
      <c r="F5" s="5" t="n">
        <v>182.25</v>
      </c>
      <c r="G5" s="15" t="n">
        <f aca="false">D5-F5</f>
        <v>423.63</v>
      </c>
    </row>
    <row r="6" customFormat="false" ht="15" hidden="false" customHeight="false" outlineLevel="0" collapsed="false">
      <c r="A6" s="14" t="s">
        <v>40</v>
      </c>
      <c r="B6" s="14" t="s">
        <v>18</v>
      </c>
      <c r="C6" s="14" t="n">
        <v>312</v>
      </c>
      <c r="D6" s="5" t="n">
        <v>305.73</v>
      </c>
      <c r="E6" s="5" t="n">
        <v>36341.91</v>
      </c>
      <c r="F6" s="5" t="n">
        <v>562.77</v>
      </c>
      <c r="G6" s="15" t="n">
        <f aca="false">D6-F6</f>
        <v>-257.04</v>
      </c>
    </row>
    <row r="7" customFormat="false" ht="15" hidden="false" customHeight="false" outlineLevel="0" collapsed="false">
      <c r="A7" s="14" t="s">
        <v>40</v>
      </c>
      <c r="B7" s="14" t="s">
        <v>19</v>
      </c>
      <c r="C7" s="14" t="n">
        <v>313</v>
      </c>
      <c r="D7" s="5" t="n">
        <v>537.48</v>
      </c>
      <c r="E7" s="5" t="n">
        <v>13301.55</v>
      </c>
      <c r="F7" s="5" t="n">
        <v>170.01</v>
      </c>
      <c r="G7" s="15" t="n">
        <f aca="false">D7-F7</f>
        <v>367.47</v>
      </c>
    </row>
    <row r="8" customFormat="false" ht="15" hidden="false" customHeight="false" outlineLevel="0" collapsed="false">
      <c r="A8" s="14" t="s">
        <v>40</v>
      </c>
      <c r="B8" s="14" t="s">
        <v>20</v>
      </c>
      <c r="C8" s="14" t="n">
        <v>321</v>
      </c>
      <c r="D8" s="5" t="n">
        <v>2.88</v>
      </c>
      <c r="E8" s="5" t="n">
        <v>1603.44</v>
      </c>
      <c r="F8" s="5" t="n">
        <v>107.1</v>
      </c>
      <c r="G8" s="15" t="n">
        <f aca="false">D8-F8</f>
        <v>-104.22</v>
      </c>
    </row>
    <row r="9" customFormat="false" ht="15" hidden="false" customHeight="false" outlineLevel="0" collapsed="false">
      <c r="A9" s="14" t="s">
        <v>40</v>
      </c>
      <c r="B9" s="14" t="s">
        <v>21</v>
      </c>
      <c r="C9" s="14" t="n">
        <v>322</v>
      </c>
      <c r="D9" s="5" t="n">
        <v>0</v>
      </c>
      <c r="E9" s="5" t="n">
        <v>0</v>
      </c>
      <c r="F9" s="5" t="n">
        <v>0</v>
      </c>
      <c r="G9" s="15" t="n">
        <f aca="false">D9-F9</f>
        <v>0</v>
      </c>
    </row>
    <row r="10" customFormat="false" ht="15" hidden="false" customHeight="false" outlineLevel="0" collapsed="false">
      <c r="A10" s="14" t="s">
        <v>40</v>
      </c>
      <c r="B10" s="14" t="s">
        <v>22</v>
      </c>
      <c r="C10" s="14" t="n">
        <v>323</v>
      </c>
      <c r="D10" s="5" t="n">
        <v>815.76</v>
      </c>
      <c r="E10" s="5" t="n">
        <v>57068.64</v>
      </c>
      <c r="F10" s="5" t="n">
        <v>1765.53</v>
      </c>
      <c r="G10" s="15" t="n">
        <f aca="false">D10-F10</f>
        <v>-949.77</v>
      </c>
    </row>
    <row r="11" customFormat="false" ht="15" hidden="false" customHeight="false" outlineLevel="0" collapsed="false">
      <c r="A11" s="14" t="s">
        <v>40</v>
      </c>
      <c r="B11" s="14" t="s">
        <v>23</v>
      </c>
      <c r="C11" s="14" t="n">
        <v>324</v>
      </c>
      <c r="D11" s="5" t="n">
        <v>91.08</v>
      </c>
      <c r="E11" s="5" t="n">
        <v>10171.17</v>
      </c>
      <c r="F11" s="5" t="n">
        <v>188.73</v>
      </c>
      <c r="G11" s="15" t="n">
        <f aca="false">D11-F11</f>
        <v>-97.65</v>
      </c>
    </row>
    <row r="12" customFormat="false" ht="15" hidden="false" customHeight="false" outlineLevel="0" collapsed="false">
      <c r="A12" s="14" t="s">
        <v>41</v>
      </c>
      <c r="B12" s="14" t="s">
        <v>17</v>
      </c>
      <c r="C12" s="14" t="n">
        <v>311</v>
      </c>
      <c r="D12" s="5" t="n">
        <v>19.53</v>
      </c>
      <c r="E12" s="5" t="n">
        <v>16206.12</v>
      </c>
      <c r="F12" s="5" t="n">
        <v>521.28</v>
      </c>
      <c r="G12" s="15" t="n">
        <f aca="false">D12-F12</f>
        <v>-501.75</v>
      </c>
    </row>
    <row r="13" customFormat="false" ht="15" hidden="false" customHeight="false" outlineLevel="0" collapsed="false">
      <c r="A13" s="14" t="s">
        <v>41</v>
      </c>
      <c r="B13" s="14" t="s">
        <v>18</v>
      </c>
      <c r="C13" s="14" t="n">
        <v>312</v>
      </c>
      <c r="D13" s="5" t="n">
        <v>20.16</v>
      </c>
      <c r="E13" s="5" t="n">
        <v>36477.18</v>
      </c>
      <c r="F13" s="5" t="n">
        <v>713.07</v>
      </c>
      <c r="G13" s="15" t="n">
        <f aca="false">D13-F13</f>
        <v>-692.91</v>
      </c>
    </row>
    <row r="14" customFormat="false" ht="15" hidden="false" customHeight="false" outlineLevel="0" collapsed="false">
      <c r="A14" s="14" t="s">
        <v>41</v>
      </c>
      <c r="B14" s="14" t="s">
        <v>19</v>
      </c>
      <c r="C14" s="14" t="n">
        <v>313</v>
      </c>
      <c r="D14" s="5" t="n">
        <v>9.45</v>
      </c>
      <c r="E14" s="5" t="n">
        <v>13514.85</v>
      </c>
      <c r="F14" s="5" t="n">
        <v>484.74</v>
      </c>
      <c r="G14" s="15" t="n">
        <f aca="false">D14-F14</f>
        <v>-475.29</v>
      </c>
    </row>
    <row r="15" customFormat="false" ht="15" hidden="false" customHeight="false" outlineLevel="0" collapsed="false">
      <c r="A15" s="14" t="s">
        <v>41</v>
      </c>
      <c r="B15" s="14" t="s">
        <v>20</v>
      </c>
      <c r="C15" s="14" t="n">
        <v>321</v>
      </c>
      <c r="D15" s="5" t="n">
        <v>0.63</v>
      </c>
      <c r="E15" s="5" t="n">
        <v>1640.88</v>
      </c>
      <c r="F15" s="5" t="n">
        <v>71.91</v>
      </c>
      <c r="G15" s="15" t="n">
        <f aca="false">D15-F15</f>
        <v>-71.28</v>
      </c>
    </row>
    <row r="16" customFormat="false" ht="15" hidden="false" customHeight="false" outlineLevel="0" collapsed="false">
      <c r="A16" s="14" t="s">
        <v>41</v>
      </c>
      <c r="B16" s="14" t="s">
        <v>21</v>
      </c>
      <c r="C16" s="14" t="n">
        <v>322</v>
      </c>
      <c r="D16" s="5" t="n">
        <v>0</v>
      </c>
      <c r="E16" s="5" t="n">
        <v>0</v>
      </c>
      <c r="F16" s="5" t="n">
        <v>0</v>
      </c>
      <c r="G16" s="15" t="n">
        <f aca="false">D16-F16</f>
        <v>0</v>
      </c>
    </row>
    <row r="17" customFormat="false" ht="15" hidden="false" customHeight="false" outlineLevel="0" collapsed="false">
      <c r="A17" s="14" t="s">
        <v>41</v>
      </c>
      <c r="B17" s="14" t="s">
        <v>22</v>
      </c>
      <c r="C17" s="14" t="n">
        <v>323</v>
      </c>
      <c r="D17" s="5" t="n">
        <v>73.98</v>
      </c>
      <c r="E17" s="5" t="n">
        <v>58397.76</v>
      </c>
      <c r="F17" s="5" t="n">
        <v>1178.19</v>
      </c>
      <c r="G17" s="15" t="n">
        <f aca="false">D17-F17</f>
        <v>-1104.21</v>
      </c>
    </row>
    <row r="18" customFormat="false" ht="15" hidden="false" customHeight="false" outlineLevel="0" collapsed="false">
      <c r="A18" s="14" t="s">
        <v>41</v>
      </c>
      <c r="B18" s="14" t="s">
        <v>23</v>
      </c>
      <c r="C18" s="14" t="n">
        <v>324</v>
      </c>
      <c r="D18" s="5" t="n">
        <v>3.96</v>
      </c>
      <c r="E18" s="5" t="n">
        <v>10162.98</v>
      </c>
      <c r="F18" s="5" t="n">
        <v>284.04</v>
      </c>
      <c r="G18" s="15" t="n">
        <f aca="false">D18-F18</f>
        <v>-280.08</v>
      </c>
    </row>
    <row r="19" customFormat="false" ht="15" hidden="false" customHeight="false" outlineLevel="0" collapsed="false">
      <c r="A19" s="14" t="s">
        <v>42</v>
      </c>
      <c r="B19" s="14" t="s">
        <v>17</v>
      </c>
      <c r="C19" s="14" t="n">
        <v>311</v>
      </c>
      <c r="D19" s="5" t="n">
        <v>567.45</v>
      </c>
      <c r="E19" s="5" t="n">
        <v>16015.77</v>
      </c>
      <c r="F19" s="5" t="n">
        <v>163.71</v>
      </c>
      <c r="G19" s="15" t="n">
        <f aca="false">D19-F19</f>
        <v>403.74</v>
      </c>
    </row>
    <row r="20" customFormat="false" ht="15" hidden="false" customHeight="false" outlineLevel="0" collapsed="false">
      <c r="A20" s="14" t="s">
        <v>42</v>
      </c>
      <c r="B20" s="14" t="s">
        <v>18</v>
      </c>
      <c r="C20" s="14" t="n">
        <v>312</v>
      </c>
      <c r="D20" s="5" t="n">
        <v>1064.79</v>
      </c>
      <c r="E20" s="5" t="n">
        <v>35774.19</v>
      </c>
      <c r="F20" s="5" t="n">
        <v>371.43</v>
      </c>
      <c r="G20" s="15" t="n">
        <f aca="false">D20-F20</f>
        <v>693.36</v>
      </c>
    </row>
    <row r="21" customFormat="false" ht="15" hidden="false" customHeight="false" outlineLevel="0" collapsed="false">
      <c r="A21" s="14" t="s">
        <v>42</v>
      </c>
      <c r="B21" s="14" t="s">
        <v>19</v>
      </c>
      <c r="C21" s="14" t="n">
        <v>313</v>
      </c>
      <c r="D21" s="5" t="n">
        <v>538.38</v>
      </c>
      <c r="E21" s="5" t="n">
        <v>13338.36</v>
      </c>
      <c r="F21" s="5" t="n">
        <v>132.3</v>
      </c>
      <c r="G21" s="15" t="n">
        <f aca="false">D21-F21</f>
        <v>406.08</v>
      </c>
    </row>
    <row r="22" customFormat="false" ht="15" hidden="false" customHeight="false" outlineLevel="0" collapsed="false">
      <c r="A22" s="14" t="s">
        <v>42</v>
      </c>
      <c r="B22" s="14" t="s">
        <v>20</v>
      </c>
      <c r="C22" s="14" t="n">
        <v>321</v>
      </c>
      <c r="D22" s="5" t="n">
        <v>242.37</v>
      </c>
      <c r="E22" s="5" t="n">
        <v>1467.81</v>
      </c>
      <c r="F22" s="5" t="n">
        <v>3.24</v>
      </c>
      <c r="G22" s="15" t="n">
        <f aca="false">D22-F22</f>
        <v>239.13</v>
      </c>
    </row>
    <row r="23" customFormat="false" ht="15" hidden="false" customHeight="false" outlineLevel="0" collapsed="false">
      <c r="A23" s="14" t="s">
        <v>42</v>
      </c>
      <c r="B23" s="14" t="s">
        <v>21</v>
      </c>
      <c r="C23" s="14" t="n">
        <v>322</v>
      </c>
      <c r="D23" s="5" t="n">
        <v>0</v>
      </c>
      <c r="E23" s="5" t="n">
        <v>0</v>
      </c>
      <c r="F23" s="5" t="n">
        <v>0</v>
      </c>
      <c r="G23" s="15" t="n">
        <f aca="false">D23-F23</f>
        <v>0</v>
      </c>
    </row>
    <row r="24" customFormat="false" ht="15" hidden="false" customHeight="false" outlineLevel="0" collapsed="false">
      <c r="A24" s="14" t="s">
        <v>42</v>
      </c>
      <c r="B24" s="14" t="s">
        <v>22</v>
      </c>
      <c r="C24" s="14" t="n">
        <v>323</v>
      </c>
      <c r="D24" s="5" t="n">
        <v>5533.92</v>
      </c>
      <c r="E24" s="5" t="n">
        <v>53692.92</v>
      </c>
      <c r="F24" s="5" t="n">
        <v>423.09</v>
      </c>
      <c r="G24" s="15" t="n">
        <f aca="false">D24-F24</f>
        <v>5110.83</v>
      </c>
    </row>
    <row r="25" customFormat="false" ht="15" hidden="false" customHeight="false" outlineLevel="0" collapsed="false">
      <c r="A25" s="14" t="s">
        <v>42</v>
      </c>
      <c r="B25" s="14" t="s">
        <v>23</v>
      </c>
      <c r="C25" s="14" t="n">
        <v>324</v>
      </c>
      <c r="D25" s="5" t="n">
        <v>1095.66</v>
      </c>
      <c r="E25" s="5" t="n">
        <v>9009.72</v>
      </c>
      <c r="F25" s="5" t="n">
        <v>345.6</v>
      </c>
      <c r="G25" s="15" t="n">
        <f aca="false">D25-F25</f>
        <v>750.06</v>
      </c>
    </row>
    <row r="26" customFormat="false" ht="15" hidden="false" customHeight="false" outlineLevel="0" collapsed="false">
      <c r="A26" s="14" t="s">
        <v>43</v>
      </c>
      <c r="B26" s="14" t="s">
        <v>17</v>
      </c>
      <c r="C26" s="14" t="n">
        <v>311</v>
      </c>
      <c r="D26" s="5" t="n">
        <v>39.33</v>
      </c>
      <c r="E26" s="5" t="n">
        <v>16492.23</v>
      </c>
      <c r="F26" s="5" t="n">
        <v>215.37</v>
      </c>
      <c r="G26" s="15" t="n">
        <f aca="false">D26-F26</f>
        <v>-176.04</v>
      </c>
    </row>
    <row r="27" customFormat="false" ht="15" hidden="false" customHeight="false" outlineLevel="0" collapsed="false">
      <c r="A27" s="14" t="s">
        <v>43</v>
      </c>
      <c r="B27" s="14" t="s">
        <v>18</v>
      </c>
      <c r="C27" s="14" t="n">
        <v>312</v>
      </c>
      <c r="D27" s="5" t="n">
        <v>51.84</v>
      </c>
      <c r="E27" s="5" t="n">
        <v>36736.29</v>
      </c>
      <c r="F27" s="5" t="n">
        <v>422.28</v>
      </c>
      <c r="G27" s="15" t="n">
        <f aca="false">D27-F27</f>
        <v>-370.44</v>
      </c>
    </row>
    <row r="28" customFormat="false" ht="15" hidden="false" customHeight="false" outlineLevel="0" collapsed="false">
      <c r="A28" s="14" t="s">
        <v>43</v>
      </c>
      <c r="B28" s="14" t="s">
        <v>19</v>
      </c>
      <c r="C28" s="14" t="n">
        <v>313</v>
      </c>
      <c r="D28" s="5" t="n">
        <v>36</v>
      </c>
      <c r="E28" s="5" t="n">
        <v>13787.01</v>
      </c>
      <c r="F28" s="5" t="n">
        <v>186.03</v>
      </c>
      <c r="G28" s="15" t="n">
        <f aca="false">D28-F28</f>
        <v>-150.03</v>
      </c>
    </row>
    <row r="29" customFormat="false" ht="15" hidden="false" customHeight="false" outlineLevel="0" collapsed="false">
      <c r="A29" s="14" t="s">
        <v>43</v>
      </c>
      <c r="B29" s="14" t="s">
        <v>20</v>
      </c>
      <c r="C29" s="14" t="n">
        <v>321</v>
      </c>
      <c r="D29" s="5" t="n">
        <v>4.68</v>
      </c>
      <c r="E29" s="5" t="n">
        <v>1700.37</v>
      </c>
      <c r="F29" s="5" t="n">
        <v>8.37</v>
      </c>
      <c r="G29" s="15" t="n">
        <f aca="false">D29-F29</f>
        <v>-3.69</v>
      </c>
    </row>
    <row r="30" customFormat="false" ht="15" hidden="false" customHeight="false" outlineLevel="0" collapsed="false">
      <c r="A30" s="14" t="s">
        <v>43</v>
      </c>
      <c r="B30" s="14" t="s">
        <v>21</v>
      </c>
      <c r="C30" s="14" t="n">
        <v>322</v>
      </c>
      <c r="D30" s="5" t="n">
        <v>0</v>
      </c>
      <c r="E30" s="5" t="n">
        <v>0</v>
      </c>
      <c r="F30" s="5" t="n">
        <v>0</v>
      </c>
      <c r="G30" s="15" t="n">
        <f aca="false">D30-F30</f>
        <v>0</v>
      </c>
    </row>
    <row r="31" customFormat="false" ht="15" hidden="false" customHeight="false" outlineLevel="0" collapsed="false">
      <c r="A31" s="14" t="s">
        <v>43</v>
      </c>
      <c r="B31" s="14" t="s">
        <v>22</v>
      </c>
      <c r="C31" s="14" t="n">
        <v>323</v>
      </c>
      <c r="D31" s="5" t="n">
        <v>220.5</v>
      </c>
      <c r="E31" s="5" t="n">
        <v>58901.85</v>
      </c>
      <c r="F31" s="5" t="n">
        <v>527.58</v>
      </c>
      <c r="G31" s="15" t="n">
        <f aca="false">D31-F31</f>
        <v>-307.08</v>
      </c>
    </row>
    <row r="32" customFormat="false" ht="15" hidden="false" customHeight="false" outlineLevel="0" collapsed="false">
      <c r="A32" s="14" t="s">
        <v>43</v>
      </c>
      <c r="B32" s="14" t="s">
        <v>23</v>
      </c>
      <c r="C32" s="14" t="n">
        <v>324</v>
      </c>
      <c r="D32" s="5" t="n">
        <v>187.29</v>
      </c>
      <c r="E32" s="5" t="n">
        <v>10058.76</v>
      </c>
      <c r="F32" s="5" t="n">
        <v>204.93</v>
      </c>
      <c r="G32" s="15" t="n">
        <f aca="false">D32-F32</f>
        <v>-17.64</v>
      </c>
    </row>
    <row r="33" customFormat="false" ht="15" hidden="false" customHeight="false" outlineLevel="0" collapsed="false">
      <c r="A33" s="14" t="s">
        <v>44</v>
      </c>
      <c r="B33" s="14" t="s">
        <v>17</v>
      </c>
      <c r="C33" s="14" t="n">
        <v>311</v>
      </c>
      <c r="D33" s="5" t="n">
        <v>67.5</v>
      </c>
      <c r="E33" s="5" t="n">
        <v>16493.4</v>
      </c>
      <c r="F33" s="5" t="n">
        <v>186.03</v>
      </c>
      <c r="G33" s="15" t="n">
        <f aca="false">D33-F33</f>
        <v>-118.53</v>
      </c>
    </row>
    <row r="34" customFormat="false" ht="15" hidden="false" customHeight="false" outlineLevel="0" collapsed="false">
      <c r="A34" s="14" t="s">
        <v>44</v>
      </c>
      <c r="B34" s="14" t="s">
        <v>18</v>
      </c>
      <c r="C34" s="14" t="n">
        <v>312</v>
      </c>
      <c r="D34" s="5" t="n">
        <v>151.83</v>
      </c>
      <c r="E34" s="5" t="n">
        <v>36691.92</v>
      </c>
      <c r="F34" s="5" t="n">
        <v>366.66</v>
      </c>
      <c r="G34" s="15" t="n">
        <f aca="false">D34-F34</f>
        <v>-214.83</v>
      </c>
    </row>
    <row r="35" customFormat="false" ht="15" hidden="false" customHeight="false" outlineLevel="0" collapsed="false">
      <c r="A35" s="14" t="s">
        <v>44</v>
      </c>
      <c r="B35" s="14" t="s">
        <v>19</v>
      </c>
      <c r="C35" s="14" t="n">
        <v>313</v>
      </c>
      <c r="D35" s="5" t="n">
        <v>47.79</v>
      </c>
      <c r="E35" s="5" t="n">
        <v>13790.61</v>
      </c>
      <c r="F35" s="5" t="n">
        <v>170.64</v>
      </c>
      <c r="G35" s="15" t="n">
        <f aca="false">D35-F35</f>
        <v>-122.85</v>
      </c>
    </row>
    <row r="36" customFormat="false" ht="15" hidden="false" customHeight="false" outlineLevel="0" collapsed="false">
      <c r="A36" s="14" t="s">
        <v>44</v>
      </c>
      <c r="B36" s="14" t="s">
        <v>20</v>
      </c>
      <c r="C36" s="14" t="n">
        <v>321</v>
      </c>
      <c r="D36" s="5" t="n">
        <v>16.38</v>
      </c>
      <c r="E36" s="5" t="n">
        <v>1693.71</v>
      </c>
      <c r="F36" s="5" t="n">
        <v>3.33</v>
      </c>
      <c r="G36" s="15" t="n">
        <f aca="false">D36-F36</f>
        <v>13.05</v>
      </c>
    </row>
    <row r="37" customFormat="false" ht="15" hidden="false" customHeight="false" outlineLevel="0" collapsed="false">
      <c r="A37" s="14" t="s">
        <v>44</v>
      </c>
      <c r="B37" s="14" t="s">
        <v>21</v>
      </c>
      <c r="C37" s="14" t="n">
        <v>322</v>
      </c>
      <c r="D37" s="5" t="n">
        <v>0</v>
      </c>
      <c r="E37" s="5" t="n">
        <v>0</v>
      </c>
      <c r="F37" s="5" t="n">
        <v>0</v>
      </c>
      <c r="G37" s="15" t="n">
        <f aca="false">D37-F37</f>
        <v>0</v>
      </c>
    </row>
    <row r="38" customFormat="false" ht="15" hidden="false" customHeight="false" outlineLevel="0" collapsed="false">
      <c r="A38" s="14" t="s">
        <v>44</v>
      </c>
      <c r="B38" s="14" t="s">
        <v>22</v>
      </c>
      <c r="C38" s="14" t="n">
        <v>323</v>
      </c>
      <c r="D38" s="5" t="n">
        <v>419.04</v>
      </c>
      <c r="E38" s="5" t="n">
        <v>58844.25</v>
      </c>
      <c r="F38" s="5" t="n">
        <v>386.64</v>
      </c>
      <c r="G38" s="15" t="n">
        <f aca="false">D38-F38</f>
        <v>32.4</v>
      </c>
    </row>
    <row r="39" customFormat="false" ht="15" hidden="false" customHeight="false" outlineLevel="0" collapsed="false">
      <c r="A39" s="14" t="s">
        <v>44</v>
      </c>
      <c r="B39" s="14" t="s">
        <v>23</v>
      </c>
      <c r="C39" s="14" t="n">
        <v>324</v>
      </c>
      <c r="D39" s="5" t="n">
        <v>220.05</v>
      </c>
      <c r="E39" s="5" t="n">
        <v>10127.88</v>
      </c>
      <c r="F39" s="5" t="n">
        <v>103.05</v>
      </c>
      <c r="G39" s="15" t="n">
        <f aca="false">D39-F39</f>
        <v>117</v>
      </c>
    </row>
    <row r="40" customFormat="false" ht="15" hidden="false" customHeight="false" outlineLevel="0" collapsed="false">
      <c r="A40" s="14" t="s">
        <v>45</v>
      </c>
      <c r="B40" s="14" t="s">
        <v>17</v>
      </c>
      <c r="C40" s="14" t="n">
        <v>311</v>
      </c>
      <c r="D40" s="5" t="n">
        <v>28.53</v>
      </c>
      <c r="E40" s="5" t="n">
        <v>16328.25</v>
      </c>
      <c r="F40" s="5" t="n">
        <v>390.15</v>
      </c>
      <c r="G40" s="15" t="n">
        <f aca="false">D40-F40</f>
        <v>-361.62</v>
      </c>
    </row>
    <row r="41" customFormat="false" ht="15" hidden="false" customHeight="false" outlineLevel="0" collapsed="false">
      <c r="A41" s="14" t="s">
        <v>45</v>
      </c>
      <c r="B41" s="14" t="s">
        <v>18</v>
      </c>
      <c r="C41" s="14" t="n">
        <v>312</v>
      </c>
      <c r="D41" s="5" t="n">
        <v>17.73</v>
      </c>
      <c r="E41" s="5" t="n">
        <v>35241.84</v>
      </c>
      <c r="F41" s="5" t="n">
        <v>1950.84</v>
      </c>
      <c r="G41" s="15" t="n">
        <f aca="false">D41-F41</f>
        <v>-1933.11</v>
      </c>
    </row>
    <row r="42" customFormat="false" ht="15" hidden="false" customHeight="false" outlineLevel="0" collapsed="false">
      <c r="A42" s="14" t="s">
        <v>45</v>
      </c>
      <c r="B42" s="14" t="s">
        <v>19</v>
      </c>
      <c r="C42" s="14" t="n">
        <v>313</v>
      </c>
      <c r="D42" s="5" t="n">
        <v>19.35</v>
      </c>
      <c r="E42" s="5" t="n">
        <v>13625.55</v>
      </c>
      <c r="F42" s="5" t="n">
        <v>364.14</v>
      </c>
      <c r="G42" s="15" t="n">
        <f aca="false">D42-F42</f>
        <v>-344.79</v>
      </c>
    </row>
    <row r="43" customFormat="false" ht="15" hidden="false" customHeight="false" outlineLevel="0" collapsed="false">
      <c r="A43" s="14" t="s">
        <v>45</v>
      </c>
      <c r="B43" s="14" t="s">
        <v>20</v>
      </c>
      <c r="C43" s="14" t="n">
        <v>321</v>
      </c>
      <c r="D43" s="5" t="n">
        <v>2.25</v>
      </c>
      <c r="E43" s="5" t="n">
        <v>1555.74</v>
      </c>
      <c r="F43" s="5" t="n">
        <v>155.43</v>
      </c>
      <c r="G43" s="15" t="n">
        <f aca="false">D43-F43</f>
        <v>-153.18</v>
      </c>
    </row>
    <row r="44" customFormat="false" ht="15" hidden="false" customHeight="false" outlineLevel="0" collapsed="false">
      <c r="A44" s="14" t="s">
        <v>45</v>
      </c>
      <c r="B44" s="14" t="s">
        <v>21</v>
      </c>
      <c r="C44" s="14" t="n">
        <v>322</v>
      </c>
      <c r="D44" s="5" t="n">
        <v>0</v>
      </c>
      <c r="E44" s="5" t="n">
        <v>0</v>
      </c>
      <c r="F44" s="5" t="n">
        <v>0</v>
      </c>
      <c r="G44" s="15" t="n">
        <f aca="false">D44-F44</f>
        <v>0</v>
      </c>
    </row>
    <row r="45" customFormat="false" ht="15" hidden="false" customHeight="false" outlineLevel="0" collapsed="false">
      <c r="A45" s="14" t="s">
        <v>45</v>
      </c>
      <c r="B45" s="14" t="s">
        <v>22</v>
      </c>
      <c r="C45" s="14" t="n">
        <v>323</v>
      </c>
      <c r="D45" s="5" t="n">
        <v>31.32</v>
      </c>
      <c r="E45" s="5" t="n">
        <v>50298.57</v>
      </c>
      <c r="F45" s="5" t="n">
        <v>9320.04</v>
      </c>
      <c r="G45" s="15" t="n">
        <f aca="false">D45-F45</f>
        <v>-9288.72</v>
      </c>
    </row>
    <row r="46" customFormat="false" ht="15" hidden="false" customHeight="false" outlineLevel="0" collapsed="false">
      <c r="A46" s="14" t="s">
        <v>45</v>
      </c>
      <c r="B46" s="14" t="s">
        <v>23</v>
      </c>
      <c r="C46" s="14" t="n">
        <v>324</v>
      </c>
      <c r="D46" s="5" t="n">
        <v>13.05</v>
      </c>
      <c r="E46" s="5" t="n">
        <v>9615.42</v>
      </c>
      <c r="F46" s="5" t="n">
        <v>822.51</v>
      </c>
      <c r="G46" s="15" t="n">
        <f aca="false">D46-F46</f>
        <v>-809.46</v>
      </c>
    </row>
    <row r="47" customFormat="false" ht="15" hidden="false" customHeight="false" outlineLevel="0" collapsed="false">
      <c r="A47" s="14" t="s">
        <v>46</v>
      </c>
      <c r="B47" s="14" t="s">
        <v>17</v>
      </c>
      <c r="C47" s="14" t="n">
        <v>311</v>
      </c>
      <c r="D47" s="5" t="n">
        <v>392.22</v>
      </c>
      <c r="E47" s="5" t="n">
        <v>16161.03</v>
      </c>
      <c r="F47" s="5" t="n">
        <v>193.68</v>
      </c>
      <c r="G47" s="15" t="n">
        <f aca="false">D47-F47</f>
        <v>198.54</v>
      </c>
    </row>
    <row r="48" customFormat="false" ht="15" hidden="false" customHeight="false" outlineLevel="0" collapsed="false">
      <c r="A48" s="14" t="s">
        <v>46</v>
      </c>
      <c r="B48" s="14" t="s">
        <v>18</v>
      </c>
      <c r="C48" s="14" t="n">
        <v>312</v>
      </c>
      <c r="D48" s="5" t="n">
        <v>57.24</v>
      </c>
      <c r="E48" s="5" t="n">
        <v>36768.96</v>
      </c>
      <c r="F48" s="5" t="n">
        <v>384.21</v>
      </c>
      <c r="G48" s="15" t="n">
        <f aca="false">D48-F48</f>
        <v>-326.97</v>
      </c>
    </row>
    <row r="49" customFormat="false" ht="15" hidden="false" customHeight="false" outlineLevel="0" collapsed="false">
      <c r="A49" s="14" t="s">
        <v>46</v>
      </c>
      <c r="B49" s="14" t="s">
        <v>19</v>
      </c>
      <c r="C49" s="14" t="n">
        <v>313</v>
      </c>
      <c r="D49" s="5" t="n">
        <v>54.09</v>
      </c>
      <c r="E49" s="5" t="n">
        <v>13815.72</v>
      </c>
      <c r="F49" s="5" t="n">
        <v>139.23</v>
      </c>
      <c r="G49" s="15" t="n">
        <f aca="false">D49-F49</f>
        <v>-85.14</v>
      </c>
    </row>
    <row r="50" customFormat="false" ht="15" hidden="false" customHeight="false" outlineLevel="0" collapsed="false">
      <c r="A50" s="14" t="s">
        <v>46</v>
      </c>
      <c r="B50" s="14" t="s">
        <v>20</v>
      </c>
      <c r="C50" s="14" t="n">
        <v>321</v>
      </c>
      <c r="D50" s="5" t="n">
        <v>1.08</v>
      </c>
      <c r="E50" s="5" t="n">
        <v>1637.01</v>
      </c>
      <c r="F50" s="5" t="n">
        <v>75.33</v>
      </c>
      <c r="G50" s="15" t="n">
        <f aca="false">D50-F50</f>
        <v>-74.25</v>
      </c>
    </row>
    <row r="51" customFormat="false" ht="15" hidden="false" customHeight="false" outlineLevel="0" collapsed="false">
      <c r="A51" s="14" t="s">
        <v>46</v>
      </c>
      <c r="B51" s="14" t="s">
        <v>21</v>
      </c>
      <c r="C51" s="14" t="n">
        <v>322</v>
      </c>
      <c r="D51" s="5" t="n">
        <v>0</v>
      </c>
      <c r="E51" s="5" t="n">
        <v>0</v>
      </c>
      <c r="F51" s="5" t="n">
        <v>0</v>
      </c>
      <c r="G51" s="15" t="n">
        <f aca="false">D51-F51</f>
        <v>0</v>
      </c>
    </row>
    <row r="52" customFormat="false" ht="15" hidden="false" customHeight="false" outlineLevel="0" collapsed="false">
      <c r="A52" s="14" t="s">
        <v>46</v>
      </c>
      <c r="B52" s="14" t="s">
        <v>22</v>
      </c>
      <c r="C52" s="14" t="n">
        <v>323</v>
      </c>
      <c r="D52" s="5" t="n">
        <v>524.97</v>
      </c>
      <c r="E52" s="5" t="n">
        <v>58508.55</v>
      </c>
      <c r="F52" s="5" t="n">
        <v>616.41</v>
      </c>
      <c r="G52" s="15" t="n">
        <f aca="false">D52-F52</f>
        <v>-91.4399999999999</v>
      </c>
    </row>
    <row r="53" customFormat="false" ht="15" hidden="false" customHeight="false" outlineLevel="0" collapsed="false">
      <c r="A53" s="14" t="s">
        <v>46</v>
      </c>
      <c r="B53" s="14" t="s">
        <v>23</v>
      </c>
      <c r="C53" s="14" t="n">
        <v>324</v>
      </c>
      <c r="D53" s="5" t="n">
        <v>21.06</v>
      </c>
      <c r="E53" s="5" t="n">
        <v>10150.38</v>
      </c>
      <c r="F53" s="5" t="n">
        <v>279.54</v>
      </c>
      <c r="G53" s="15" t="n">
        <f aca="false">D53-F53</f>
        <v>-258.48</v>
      </c>
    </row>
    <row r="54" customFormat="false" ht="15" hidden="false" customHeight="false" outlineLevel="0" collapsed="false">
      <c r="A54" s="14" t="s">
        <v>47</v>
      </c>
      <c r="B54" s="14" t="s">
        <v>17</v>
      </c>
      <c r="C54" s="14" t="n">
        <v>311</v>
      </c>
      <c r="D54" s="5" t="n">
        <v>200.16</v>
      </c>
      <c r="E54" s="5" t="n">
        <v>16350.12</v>
      </c>
      <c r="F54" s="5" t="n">
        <v>196.65</v>
      </c>
      <c r="G54" s="15" t="n">
        <f aca="false">D54-F54</f>
        <v>3.50999999999999</v>
      </c>
    </row>
    <row r="55" customFormat="false" ht="15" hidden="false" customHeight="false" outlineLevel="0" collapsed="false">
      <c r="A55" s="14" t="s">
        <v>47</v>
      </c>
      <c r="B55" s="14" t="s">
        <v>18</v>
      </c>
      <c r="C55" s="14" t="n">
        <v>312</v>
      </c>
      <c r="D55" s="5" t="n">
        <v>325.17</v>
      </c>
      <c r="E55" s="5" t="n">
        <v>36655.2</v>
      </c>
      <c r="F55" s="5" t="n">
        <v>230.04</v>
      </c>
      <c r="G55" s="15" t="n">
        <f aca="false">D55-F55</f>
        <v>95.13</v>
      </c>
    </row>
    <row r="56" customFormat="false" ht="15" hidden="false" customHeight="false" outlineLevel="0" collapsed="false">
      <c r="A56" s="14" t="s">
        <v>47</v>
      </c>
      <c r="B56" s="14" t="s">
        <v>19</v>
      </c>
      <c r="C56" s="14" t="n">
        <v>313</v>
      </c>
      <c r="D56" s="5" t="n">
        <v>97.83</v>
      </c>
      <c r="E56" s="5" t="n">
        <v>13813.2</v>
      </c>
      <c r="F56" s="5" t="n">
        <v>98.01</v>
      </c>
      <c r="G56" s="15" t="n">
        <f aca="false">D56-F56</f>
        <v>-0.180000000000007</v>
      </c>
    </row>
    <row r="57" customFormat="false" ht="15" hidden="false" customHeight="false" outlineLevel="0" collapsed="false">
      <c r="A57" s="14" t="s">
        <v>47</v>
      </c>
      <c r="B57" s="14" t="s">
        <v>20</v>
      </c>
      <c r="C57" s="14" t="n">
        <v>321</v>
      </c>
      <c r="D57" s="5" t="n">
        <v>33.48</v>
      </c>
      <c r="E57" s="5" t="n">
        <v>1664.64</v>
      </c>
      <c r="F57" s="5" t="n">
        <v>15.3</v>
      </c>
      <c r="G57" s="15" t="n">
        <f aca="false">D57-F57</f>
        <v>18.18</v>
      </c>
    </row>
    <row r="58" customFormat="false" ht="15" hidden="false" customHeight="false" outlineLevel="0" collapsed="false">
      <c r="A58" s="14" t="s">
        <v>47</v>
      </c>
      <c r="B58" s="14" t="s">
        <v>21</v>
      </c>
      <c r="C58" s="14" t="n">
        <v>322</v>
      </c>
      <c r="D58" s="5" t="n">
        <v>0</v>
      </c>
      <c r="E58" s="5" t="n">
        <v>0</v>
      </c>
      <c r="F58" s="5" t="n">
        <v>0</v>
      </c>
      <c r="G58" s="15" t="n">
        <f aca="false">D58-F58</f>
        <v>0</v>
      </c>
    </row>
    <row r="59" customFormat="false" ht="15" hidden="false" customHeight="false" outlineLevel="0" collapsed="false">
      <c r="A59" s="14" t="s">
        <v>47</v>
      </c>
      <c r="B59" s="14" t="s">
        <v>22</v>
      </c>
      <c r="C59" s="14" t="n">
        <v>323</v>
      </c>
      <c r="D59" s="5" t="n">
        <v>898.56</v>
      </c>
      <c r="E59" s="5" t="n">
        <v>58613.04</v>
      </c>
      <c r="F59" s="5" t="n">
        <v>138.33</v>
      </c>
      <c r="G59" s="15" t="n">
        <f aca="false">D59-F59</f>
        <v>760.23</v>
      </c>
    </row>
    <row r="60" customFormat="false" ht="15" hidden="false" customHeight="false" outlineLevel="0" collapsed="false">
      <c r="A60" s="14" t="s">
        <v>47</v>
      </c>
      <c r="B60" s="14" t="s">
        <v>23</v>
      </c>
      <c r="C60" s="14" t="n">
        <v>324</v>
      </c>
      <c r="D60" s="5" t="n">
        <v>162.18</v>
      </c>
      <c r="E60" s="5" t="n">
        <v>10171.62</v>
      </c>
      <c r="F60" s="5" t="n">
        <v>117.18</v>
      </c>
      <c r="G60" s="15" t="n">
        <f aca="false">D60-F60</f>
        <v>45</v>
      </c>
    </row>
    <row r="61" customFormat="false" ht="15" hidden="false" customHeight="false" outlineLevel="0" collapsed="false">
      <c r="A61" s="14" t="s">
        <v>48</v>
      </c>
      <c r="B61" s="14" t="s">
        <v>17</v>
      </c>
      <c r="C61" s="14" t="n">
        <v>311</v>
      </c>
      <c r="D61" s="5" t="n">
        <v>223.47</v>
      </c>
      <c r="E61" s="5" t="n">
        <v>16346.25</v>
      </c>
      <c r="F61" s="5" t="n">
        <v>177.21</v>
      </c>
      <c r="G61" s="15" t="n">
        <f aca="false">D61-F61</f>
        <v>46.26</v>
      </c>
    </row>
    <row r="62" customFormat="false" ht="15" hidden="false" customHeight="false" outlineLevel="0" collapsed="false">
      <c r="A62" s="14" t="s">
        <v>48</v>
      </c>
      <c r="B62" s="14" t="s">
        <v>18</v>
      </c>
      <c r="C62" s="14" t="n">
        <v>312</v>
      </c>
      <c r="D62" s="5" t="n">
        <v>118.89</v>
      </c>
      <c r="E62" s="5" t="n">
        <v>36696.69</v>
      </c>
      <c r="F62" s="5" t="n">
        <v>394.83</v>
      </c>
      <c r="G62" s="15" t="n">
        <f aca="false">D62-F62</f>
        <v>-275.94</v>
      </c>
    </row>
    <row r="63" customFormat="false" ht="15" hidden="false" customHeight="false" outlineLevel="0" collapsed="false">
      <c r="A63" s="14" t="s">
        <v>48</v>
      </c>
      <c r="B63" s="14" t="s">
        <v>19</v>
      </c>
      <c r="C63" s="14" t="n">
        <v>313</v>
      </c>
      <c r="D63" s="5" t="n">
        <v>140.22</v>
      </c>
      <c r="E63" s="5" t="n">
        <v>13701.33</v>
      </c>
      <c r="F63" s="5" t="n">
        <v>167.49</v>
      </c>
      <c r="G63" s="15" t="n">
        <f aca="false">D63-F63</f>
        <v>-27.27</v>
      </c>
    </row>
    <row r="64" customFormat="false" ht="15" hidden="false" customHeight="false" outlineLevel="0" collapsed="false">
      <c r="A64" s="14" t="s">
        <v>48</v>
      </c>
      <c r="B64" s="14" t="s">
        <v>20</v>
      </c>
      <c r="C64" s="14" t="n">
        <v>321</v>
      </c>
      <c r="D64" s="5" t="n">
        <v>34.56</v>
      </c>
      <c r="E64" s="5" t="n">
        <v>1666.44</v>
      </c>
      <c r="F64" s="5" t="n">
        <v>12.42</v>
      </c>
      <c r="G64" s="15" t="n">
        <f aca="false">D64-F64</f>
        <v>22.14</v>
      </c>
    </row>
    <row r="65" customFormat="false" ht="15" hidden="false" customHeight="false" outlineLevel="0" collapsed="false">
      <c r="A65" s="14" t="s">
        <v>48</v>
      </c>
      <c r="B65" s="14" t="s">
        <v>21</v>
      </c>
      <c r="C65" s="14" t="n">
        <v>322</v>
      </c>
      <c r="D65" s="5" t="n">
        <v>0</v>
      </c>
      <c r="E65" s="5" t="n">
        <v>0</v>
      </c>
      <c r="F65" s="5" t="n">
        <v>0</v>
      </c>
      <c r="G65" s="15" t="n">
        <f aca="false">D65-F65</f>
        <v>0</v>
      </c>
    </row>
    <row r="66" customFormat="false" ht="15" hidden="false" customHeight="false" outlineLevel="0" collapsed="false">
      <c r="A66" s="14" t="s">
        <v>48</v>
      </c>
      <c r="B66" s="14" t="s">
        <v>22</v>
      </c>
      <c r="C66" s="14" t="n">
        <v>323</v>
      </c>
      <c r="D66" s="5" t="n">
        <v>157.32</v>
      </c>
      <c r="E66" s="5" t="n">
        <v>58757.67</v>
      </c>
      <c r="F66" s="5" t="n">
        <v>734.94</v>
      </c>
      <c r="G66" s="15" t="n">
        <f aca="false">D66-F66</f>
        <v>-577.62</v>
      </c>
    </row>
    <row r="67" customFormat="false" ht="15" hidden="false" customHeight="false" outlineLevel="0" collapsed="false">
      <c r="A67" s="14" t="s">
        <v>48</v>
      </c>
      <c r="B67" s="14" t="s">
        <v>23</v>
      </c>
      <c r="C67" s="14" t="n">
        <v>324</v>
      </c>
      <c r="D67" s="5" t="n">
        <v>96.84</v>
      </c>
      <c r="E67" s="5" t="n">
        <v>10136.7</v>
      </c>
      <c r="F67" s="5" t="n">
        <v>217.44</v>
      </c>
      <c r="G67" s="15" t="n">
        <f aca="false">D67-F67</f>
        <v>-120.6</v>
      </c>
    </row>
    <row r="68" customFormat="false" ht="15" hidden="false" customHeight="false" outlineLevel="0" collapsed="false">
      <c r="A68" s="14" t="s">
        <v>49</v>
      </c>
      <c r="B68" s="14" t="s">
        <v>17</v>
      </c>
      <c r="C68" s="14" t="n">
        <v>311</v>
      </c>
      <c r="D68" s="5" t="n">
        <v>111.78</v>
      </c>
      <c r="E68" s="5" t="n">
        <v>16539.3</v>
      </c>
      <c r="F68" s="5" t="n">
        <v>95.85</v>
      </c>
      <c r="G68" s="15" t="n">
        <f aca="false">D68-F68</f>
        <v>15.93</v>
      </c>
    </row>
    <row r="69" customFormat="false" ht="15" hidden="false" customHeight="false" outlineLevel="0" collapsed="false">
      <c r="A69" s="14" t="s">
        <v>49</v>
      </c>
      <c r="B69" s="14" t="s">
        <v>18</v>
      </c>
      <c r="C69" s="14" t="n">
        <v>312</v>
      </c>
      <c r="D69" s="5" t="n">
        <v>159.66</v>
      </c>
      <c r="E69" s="5" t="n">
        <v>36793.8</v>
      </c>
      <c r="F69" s="5" t="n">
        <v>256.95</v>
      </c>
      <c r="G69" s="15" t="n">
        <f aca="false">D69-F69</f>
        <v>-97.29</v>
      </c>
    </row>
    <row r="70" customFormat="false" ht="15" hidden="false" customHeight="false" outlineLevel="0" collapsed="false">
      <c r="A70" s="14" t="s">
        <v>49</v>
      </c>
      <c r="B70" s="14" t="s">
        <v>19</v>
      </c>
      <c r="C70" s="14" t="n">
        <v>313</v>
      </c>
      <c r="D70" s="5" t="n">
        <v>70.83</v>
      </c>
      <c r="E70" s="5" t="n">
        <v>13835.61</v>
      </c>
      <c r="F70" s="5" t="n">
        <v>102.6</v>
      </c>
      <c r="G70" s="15" t="n">
        <f aca="false">D70-F70</f>
        <v>-31.77</v>
      </c>
    </row>
    <row r="71" customFormat="false" ht="15" hidden="false" customHeight="false" outlineLevel="0" collapsed="false">
      <c r="A71" s="14" t="s">
        <v>49</v>
      </c>
      <c r="B71" s="14" t="s">
        <v>20</v>
      </c>
      <c r="C71" s="14" t="n">
        <v>321</v>
      </c>
      <c r="D71" s="5" t="n">
        <v>100.08</v>
      </c>
      <c r="E71" s="5" t="n">
        <v>1610.01</v>
      </c>
      <c r="F71" s="5" t="n">
        <v>3.33</v>
      </c>
      <c r="G71" s="15" t="n">
        <f aca="false">D71-F71</f>
        <v>96.75</v>
      </c>
    </row>
    <row r="72" customFormat="false" ht="15" hidden="false" customHeight="false" outlineLevel="0" collapsed="false">
      <c r="A72" s="14" t="s">
        <v>49</v>
      </c>
      <c r="B72" s="14" t="s">
        <v>21</v>
      </c>
      <c r="C72" s="14" t="n">
        <v>322</v>
      </c>
      <c r="D72" s="5" t="n">
        <v>0</v>
      </c>
      <c r="E72" s="5" t="n">
        <v>0</v>
      </c>
      <c r="F72" s="5" t="n">
        <v>0</v>
      </c>
      <c r="G72" s="15" t="n">
        <f aca="false">D72-F72</f>
        <v>0</v>
      </c>
    </row>
    <row r="73" customFormat="false" ht="15" hidden="false" customHeight="false" outlineLevel="0" collapsed="false">
      <c r="A73" s="14" t="s">
        <v>49</v>
      </c>
      <c r="B73" s="14" t="s">
        <v>22</v>
      </c>
      <c r="C73" s="14" t="n">
        <v>323</v>
      </c>
      <c r="D73" s="5" t="n">
        <v>1315.44</v>
      </c>
      <c r="E73" s="5" t="n">
        <v>58211.82</v>
      </c>
      <c r="F73" s="5" t="n">
        <v>122.67</v>
      </c>
      <c r="G73" s="15" t="n">
        <f aca="false">D73-F73</f>
        <v>1192.77</v>
      </c>
    </row>
    <row r="74" customFormat="false" ht="15" hidden="false" customHeight="false" outlineLevel="0" collapsed="false">
      <c r="A74" s="14" t="s">
        <v>49</v>
      </c>
      <c r="B74" s="14" t="s">
        <v>23</v>
      </c>
      <c r="C74" s="14" t="n">
        <v>324</v>
      </c>
      <c r="D74" s="5" t="n">
        <v>235.89</v>
      </c>
      <c r="E74" s="5" t="n">
        <v>10170.54</v>
      </c>
      <c r="F74" s="5" t="n">
        <v>44.55</v>
      </c>
      <c r="G74" s="15" t="n">
        <f aca="false">D74-F74</f>
        <v>191.34</v>
      </c>
    </row>
    <row r="75" customFormat="false" ht="15" hidden="false" customHeight="false" outlineLevel="0" collapsed="false">
      <c r="A75" s="14" t="s">
        <v>50</v>
      </c>
      <c r="B75" s="14" t="s">
        <v>17</v>
      </c>
      <c r="C75" s="14" t="n">
        <v>311</v>
      </c>
      <c r="D75" s="5" t="n">
        <v>38.34</v>
      </c>
      <c r="E75" s="5" t="n">
        <v>16592.76</v>
      </c>
      <c r="F75" s="5" t="n">
        <v>115.83</v>
      </c>
      <c r="G75" s="15" t="n">
        <f aca="false">D75-F75</f>
        <v>-77.49</v>
      </c>
    </row>
    <row r="76" customFormat="false" ht="15" hidden="false" customHeight="false" outlineLevel="0" collapsed="false">
      <c r="A76" s="14" t="s">
        <v>50</v>
      </c>
      <c r="B76" s="14" t="s">
        <v>18</v>
      </c>
      <c r="C76" s="14" t="n">
        <v>312</v>
      </c>
      <c r="D76" s="5" t="n">
        <v>80.46</v>
      </c>
      <c r="E76" s="5" t="n">
        <v>36375.93</v>
      </c>
      <c r="F76" s="5" t="n">
        <v>754.02</v>
      </c>
      <c r="G76" s="15" t="n">
        <f aca="false">D76-F76</f>
        <v>-673.56</v>
      </c>
    </row>
    <row r="77" customFormat="false" ht="15" hidden="false" customHeight="false" outlineLevel="0" collapsed="false">
      <c r="A77" s="14" t="s">
        <v>50</v>
      </c>
      <c r="B77" s="14" t="s">
        <v>19</v>
      </c>
      <c r="C77" s="14" t="n">
        <v>313</v>
      </c>
      <c r="D77" s="5" t="n">
        <v>29.34</v>
      </c>
      <c r="E77" s="5" t="n">
        <v>13857.48</v>
      </c>
      <c r="F77" s="5" t="n">
        <v>122.22</v>
      </c>
      <c r="G77" s="15" t="n">
        <f aca="false">D77-F77</f>
        <v>-92.88</v>
      </c>
    </row>
    <row r="78" customFormat="false" ht="15" hidden="false" customHeight="false" outlineLevel="0" collapsed="false">
      <c r="A78" s="14" t="s">
        <v>50</v>
      </c>
      <c r="B78" s="14" t="s">
        <v>20</v>
      </c>
      <c r="C78" s="14" t="n">
        <v>321</v>
      </c>
      <c r="D78" s="5" t="n">
        <v>3.6</v>
      </c>
      <c r="E78" s="5" t="n">
        <v>1639.71</v>
      </c>
      <c r="F78" s="5" t="n">
        <v>70.11</v>
      </c>
      <c r="G78" s="15" t="n">
        <f aca="false">D78-F78</f>
        <v>-66.51</v>
      </c>
    </row>
    <row r="79" customFormat="false" ht="15" hidden="false" customHeight="false" outlineLevel="0" collapsed="false">
      <c r="A79" s="14" t="s">
        <v>50</v>
      </c>
      <c r="B79" s="14" t="s">
        <v>21</v>
      </c>
      <c r="C79" s="14" t="n">
        <v>322</v>
      </c>
      <c r="D79" s="5" t="n">
        <v>0</v>
      </c>
      <c r="E79" s="5" t="n">
        <v>0</v>
      </c>
      <c r="F79" s="5" t="n">
        <v>0</v>
      </c>
      <c r="G79" s="15" t="n">
        <f aca="false">D79-F79</f>
        <v>0</v>
      </c>
    </row>
    <row r="80" customFormat="false" ht="15" hidden="false" customHeight="false" outlineLevel="0" collapsed="false">
      <c r="A80" s="14" t="s">
        <v>50</v>
      </c>
      <c r="B80" s="14" t="s">
        <v>22</v>
      </c>
      <c r="C80" s="14" t="n">
        <v>323</v>
      </c>
      <c r="D80" s="5" t="n">
        <v>282.51</v>
      </c>
      <c r="E80" s="5" t="n">
        <v>58648.86</v>
      </c>
      <c r="F80" s="5" t="n">
        <v>718.56</v>
      </c>
      <c r="G80" s="15" t="n">
        <f aca="false">D80-F80</f>
        <v>-436.05</v>
      </c>
    </row>
    <row r="81" customFormat="false" ht="15" hidden="false" customHeight="false" outlineLevel="0" collapsed="false">
      <c r="A81" s="14" t="s">
        <v>50</v>
      </c>
      <c r="B81" s="14" t="s">
        <v>23</v>
      </c>
      <c r="C81" s="14" t="n">
        <v>324</v>
      </c>
      <c r="D81" s="5" t="n">
        <v>19.26</v>
      </c>
      <c r="E81" s="5" t="n">
        <v>10276.74</v>
      </c>
      <c r="F81" s="5" t="n">
        <v>154.98</v>
      </c>
      <c r="G81" s="15" t="n">
        <f aca="false">D81-F81</f>
        <v>-135.72</v>
      </c>
    </row>
    <row r="82" customFormat="false" ht="15" hidden="false" customHeight="false" outlineLevel="0" collapsed="false">
      <c r="A82" s="14" t="s">
        <v>51</v>
      </c>
      <c r="B82" s="14" t="s">
        <v>17</v>
      </c>
      <c r="C82" s="14" t="n">
        <v>311</v>
      </c>
      <c r="D82" s="5" t="n">
        <v>28.17</v>
      </c>
      <c r="E82" s="5" t="n">
        <v>16494.75</v>
      </c>
      <c r="F82" s="5" t="n">
        <v>224.01</v>
      </c>
      <c r="G82" s="15" t="n">
        <f aca="false">D82-F82</f>
        <v>-195.84</v>
      </c>
    </row>
    <row r="83" customFormat="false" ht="15" hidden="false" customHeight="false" outlineLevel="0" collapsed="false">
      <c r="A83" s="14" t="s">
        <v>51</v>
      </c>
      <c r="B83" s="14" t="s">
        <v>18</v>
      </c>
      <c r="C83" s="14" t="n">
        <v>312</v>
      </c>
      <c r="D83" s="5" t="n">
        <v>148.32</v>
      </c>
      <c r="E83" s="5" t="n">
        <v>36057.87</v>
      </c>
      <c r="F83" s="5" t="n">
        <v>1004.22</v>
      </c>
      <c r="G83" s="15" t="n">
        <f aca="false">D83-F83</f>
        <v>-855.9</v>
      </c>
    </row>
    <row r="84" customFormat="false" ht="15" hidden="false" customHeight="false" outlineLevel="0" collapsed="false">
      <c r="A84" s="14" t="s">
        <v>51</v>
      </c>
      <c r="B84" s="14" t="s">
        <v>19</v>
      </c>
      <c r="C84" s="14" t="n">
        <v>313</v>
      </c>
      <c r="D84" s="5" t="n">
        <v>35.55</v>
      </c>
      <c r="E84" s="5" t="n">
        <v>13710.78</v>
      </c>
      <c r="F84" s="5" t="n">
        <v>262.71</v>
      </c>
      <c r="G84" s="15" t="n">
        <f aca="false">D84-F84</f>
        <v>-227.16</v>
      </c>
    </row>
    <row r="85" customFormat="false" ht="15" hidden="false" customHeight="false" outlineLevel="0" collapsed="false">
      <c r="A85" s="14" t="s">
        <v>51</v>
      </c>
      <c r="B85" s="14" t="s">
        <v>20</v>
      </c>
      <c r="C85" s="14" t="n">
        <v>321</v>
      </c>
      <c r="D85" s="5" t="n">
        <v>3.33</v>
      </c>
      <c r="E85" s="5" t="n">
        <v>1629.09</v>
      </c>
      <c r="F85" s="5" t="n">
        <v>81</v>
      </c>
      <c r="G85" s="15" t="n">
        <f aca="false">D85-F85</f>
        <v>-77.67</v>
      </c>
    </row>
    <row r="86" customFormat="false" ht="15" hidden="false" customHeight="false" outlineLevel="0" collapsed="false">
      <c r="A86" s="14" t="s">
        <v>51</v>
      </c>
      <c r="B86" s="14" t="s">
        <v>21</v>
      </c>
      <c r="C86" s="14" t="n">
        <v>322</v>
      </c>
      <c r="D86" s="5" t="n">
        <v>0</v>
      </c>
      <c r="E86" s="5" t="n">
        <v>0</v>
      </c>
      <c r="F86" s="5" t="n">
        <v>0</v>
      </c>
      <c r="G86" s="15" t="n">
        <f aca="false">D86-F86</f>
        <v>0</v>
      </c>
    </row>
    <row r="87" customFormat="false" ht="15" hidden="false" customHeight="false" outlineLevel="0" collapsed="false">
      <c r="A87" s="14" t="s">
        <v>51</v>
      </c>
      <c r="B87" s="14" t="s">
        <v>22</v>
      </c>
      <c r="C87" s="14" t="n">
        <v>323</v>
      </c>
      <c r="D87" s="5" t="n">
        <v>71.28</v>
      </c>
      <c r="E87" s="5" t="n">
        <v>57566.34</v>
      </c>
      <c r="F87" s="5" t="n">
        <v>2012.31</v>
      </c>
      <c r="G87" s="15" t="n">
        <f aca="false">D87-F87</f>
        <v>-1941.03</v>
      </c>
    </row>
    <row r="88" customFormat="false" ht="15" hidden="false" customHeight="false" outlineLevel="0" collapsed="false">
      <c r="A88" s="14" t="s">
        <v>51</v>
      </c>
      <c r="B88" s="14" t="s">
        <v>23</v>
      </c>
      <c r="C88" s="14" t="n">
        <v>324</v>
      </c>
      <c r="D88" s="5" t="n">
        <v>24.93</v>
      </c>
      <c r="E88" s="5" t="n">
        <v>10142.82</v>
      </c>
      <c r="F88" s="5" t="n">
        <v>283.23</v>
      </c>
      <c r="G88" s="15" t="n">
        <f aca="false">D88-F88</f>
        <v>-258.3</v>
      </c>
    </row>
    <row r="89" customFormat="false" ht="15" hidden="false" customHeight="false" outlineLevel="0" collapsed="false">
      <c r="A89" s="14" t="s">
        <v>52</v>
      </c>
      <c r="B89" s="14" t="s">
        <v>17</v>
      </c>
      <c r="C89" s="14" t="n">
        <v>311</v>
      </c>
      <c r="D89" s="5" t="n">
        <v>30.96</v>
      </c>
      <c r="E89" s="5" t="n">
        <v>16645.41</v>
      </c>
      <c r="F89" s="5" t="n">
        <v>70.56</v>
      </c>
      <c r="G89" s="15" t="n">
        <f aca="false">D89-F89</f>
        <v>-39.6</v>
      </c>
    </row>
    <row r="90" customFormat="false" ht="15" hidden="false" customHeight="false" outlineLevel="0" collapsed="false">
      <c r="A90" s="14" t="s">
        <v>52</v>
      </c>
      <c r="B90" s="14" t="s">
        <v>18</v>
      </c>
      <c r="C90" s="14" t="n">
        <v>312</v>
      </c>
      <c r="D90" s="5" t="n">
        <v>55.08</v>
      </c>
      <c r="E90" s="5" t="n">
        <v>36626.4</v>
      </c>
      <c r="F90" s="5" t="n">
        <v>528.93</v>
      </c>
      <c r="G90" s="15" t="n">
        <f aca="false">D90-F90</f>
        <v>-473.85</v>
      </c>
    </row>
    <row r="91" customFormat="false" ht="15" hidden="false" customHeight="false" outlineLevel="0" collapsed="false">
      <c r="A91" s="14" t="s">
        <v>52</v>
      </c>
      <c r="B91" s="14" t="s">
        <v>19</v>
      </c>
      <c r="C91" s="14" t="n">
        <v>313</v>
      </c>
      <c r="D91" s="5" t="n">
        <v>25.38</v>
      </c>
      <c r="E91" s="5" t="n">
        <v>13891.86</v>
      </c>
      <c r="F91" s="5" t="n">
        <v>91.8</v>
      </c>
      <c r="G91" s="15" t="n">
        <f aca="false">D91-F91</f>
        <v>-66.42</v>
      </c>
    </row>
    <row r="92" customFormat="false" ht="15" hidden="false" customHeight="false" outlineLevel="0" collapsed="false">
      <c r="A92" s="14" t="s">
        <v>52</v>
      </c>
      <c r="B92" s="14" t="s">
        <v>20</v>
      </c>
      <c r="C92" s="14" t="n">
        <v>321</v>
      </c>
      <c r="D92" s="5" t="n">
        <v>1.44</v>
      </c>
      <c r="E92" s="5" t="n">
        <v>1660.95</v>
      </c>
      <c r="F92" s="5" t="n">
        <v>51.03</v>
      </c>
      <c r="G92" s="15" t="n">
        <f aca="false">D92-F92</f>
        <v>-49.59</v>
      </c>
    </row>
    <row r="93" customFormat="false" ht="15" hidden="false" customHeight="false" outlineLevel="0" collapsed="false">
      <c r="A93" s="14" t="s">
        <v>52</v>
      </c>
      <c r="B93" s="14" t="s">
        <v>21</v>
      </c>
      <c r="C93" s="14" t="n">
        <v>322</v>
      </c>
      <c r="D93" s="5" t="n">
        <v>0</v>
      </c>
      <c r="E93" s="5" t="n">
        <v>0</v>
      </c>
      <c r="F93" s="5" t="n">
        <v>0</v>
      </c>
      <c r="G93" s="15" t="n">
        <f aca="false">D93-F93</f>
        <v>0</v>
      </c>
    </row>
    <row r="94" customFormat="false" ht="15" hidden="false" customHeight="false" outlineLevel="0" collapsed="false">
      <c r="A94" s="14" t="s">
        <v>52</v>
      </c>
      <c r="B94" s="14" t="s">
        <v>22</v>
      </c>
      <c r="C94" s="14" t="n">
        <v>323</v>
      </c>
      <c r="D94" s="5" t="n">
        <v>134.01</v>
      </c>
      <c r="E94" s="5" t="n">
        <v>58845.96</v>
      </c>
      <c r="F94" s="5" t="n">
        <v>669.96</v>
      </c>
      <c r="G94" s="15" t="n">
        <f aca="false">D94-F94</f>
        <v>-535.95</v>
      </c>
    </row>
    <row r="95" customFormat="false" ht="15" hidden="false" customHeight="false" outlineLevel="0" collapsed="false">
      <c r="A95" s="14" t="s">
        <v>52</v>
      </c>
      <c r="B95" s="14" t="s">
        <v>23</v>
      </c>
      <c r="C95" s="14" t="n">
        <v>324</v>
      </c>
      <c r="D95" s="5" t="n">
        <v>21.42</v>
      </c>
      <c r="E95" s="5" t="n">
        <v>10326.69</v>
      </c>
      <c r="F95" s="5" t="n">
        <v>102.87</v>
      </c>
      <c r="G95" s="15" t="n">
        <f aca="false">D95-F95</f>
        <v>-81.45</v>
      </c>
    </row>
    <row r="96" customFormat="false" ht="15" hidden="false" customHeight="false" outlineLevel="0" collapsed="false">
      <c r="A96" s="14" t="s">
        <v>53</v>
      </c>
      <c r="B96" s="14" t="s">
        <v>17</v>
      </c>
      <c r="C96" s="14" t="n">
        <v>311</v>
      </c>
      <c r="D96" s="5" t="n">
        <v>17.91</v>
      </c>
      <c r="E96" s="5" t="n">
        <v>16661.97</v>
      </c>
      <c r="F96" s="5" t="n">
        <v>67.05</v>
      </c>
      <c r="G96" s="15" t="n">
        <f aca="false">D96-F96</f>
        <v>-49.14</v>
      </c>
    </row>
    <row r="97" customFormat="false" ht="15" hidden="false" customHeight="false" outlineLevel="0" collapsed="false">
      <c r="A97" s="14" t="s">
        <v>53</v>
      </c>
      <c r="B97" s="14" t="s">
        <v>18</v>
      </c>
      <c r="C97" s="14" t="n">
        <v>312</v>
      </c>
      <c r="D97" s="5" t="n">
        <v>473.67</v>
      </c>
      <c r="E97" s="5" t="n">
        <v>36594.36</v>
      </c>
      <c r="F97" s="5" t="n">
        <v>142.38</v>
      </c>
      <c r="G97" s="15" t="n">
        <f aca="false">D97-F97</f>
        <v>331.29</v>
      </c>
    </row>
    <row r="98" customFormat="false" ht="15" hidden="false" customHeight="false" outlineLevel="0" collapsed="false">
      <c r="A98" s="14" t="s">
        <v>53</v>
      </c>
      <c r="B98" s="14" t="s">
        <v>19</v>
      </c>
      <c r="C98" s="14" t="n">
        <v>313</v>
      </c>
      <c r="D98" s="5" t="n">
        <v>35.82</v>
      </c>
      <c r="E98" s="5" t="n">
        <v>13909.5</v>
      </c>
      <c r="F98" s="5" t="n">
        <v>63.72</v>
      </c>
      <c r="G98" s="15" t="n">
        <f aca="false">D98-F98</f>
        <v>-27.9</v>
      </c>
    </row>
    <row r="99" customFormat="false" ht="15" hidden="false" customHeight="false" outlineLevel="0" collapsed="false">
      <c r="A99" s="14" t="s">
        <v>53</v>
      </c>
      <c r="B99" s="14" t="s">
        <v>20</v>
      </c>
      <c r="C99" s="14" t="n">
        <v>321</v>
      </c>
      <c r="D99" s="5" t="n">
        <v>198.9</v>
      </c>
      <c r="E99" s="5" t="n">
        <v>1512.63</v>
      </c>
      <c r="F99" s="5" t="n">
        <v>1.89</v>
      </c>
      <c r="G99" s="15" t="n">
        <f aca="false">D99-F99</f>
        <v>197.01</v>
      </c>
    </row>
    <row r="100" customFormat="false" ht="15" hidden="false" customHeight="false" outlineLevel="0" collapsed="false">
      <c r="A100" s="14" t="s">
        <v>53</v>
      </c>
      <c r="B100" s="14" t="s">
        <v>21</v>
      </c>
      <c r="C100" s="14" t="n">
        <v>322</v>
      </c>
      <c r="D100" s="5" t="n">
        <v>0</v>
      </c>
      <c r="E100" s="5" t="n">
        <v>0</v>
      </c>
      <c r="F100" s="5" t="n">
        <v>0</v>
      </c>
      <c r="G100" s="15" t="n">
        <f aca="false">D100-F100</f>
        <v>0</v>
      </c>
    </row>
    <row r="101" customFormat="false" ht="15" hidden="false" customHeight="false" outlineLevel="0" collapsed="false">
      <c r="A101" s="14" t="s">
        <v>53</v>
      </c>
      <c r="B101" s="14" t="s">
        <v>22</v>
      </c>
      <c r="C101" s="14" t="n">
        <v>323</v>
      </c>
      <c r="D101" s="5" t="n">
        <v>1107.9</v>
      </c>
      <c r="E101" s="5" t="n">
        <v>58343.4</v>
      </c>
      <c r="F101" s="5" t="n">
        <v>198.63</v>
      </c>
      <c r="G101" s="15" t="n">
        <f aca="false">D101-F101</f>
        <v>909.27</v>
      </c>
    </row>
    <row r="102" customFormat="false" ht="15" hidden="false" customHeight="false" outlineLevel="0" collapsed="false">
      <c r="A102" s="14" t="s">
        <v>53</v>
      </c>
      <c r="B102" s="14" t="s">
        <v>23</v>
      </c>
      <c r="C102" s="14" t="n">
        <v>324</v>
      </c>
      <c r="D102" s="5" t="n">
        <v>512.1</v>
      </c>
      <c r="E102" s="5" t="n">
        <v>9920.79</v>
      </c>
      <c r="F102" s="5" t="n">
        <v>18.09</v>
      </c>
      <c r="G102" s="15" t="n">
        <f aca="false">D102-F102</f>
        <v>494.01</v>
      </c>
    </row>
    <row r="103" customFormat="false" ht="15" hidden="false" customHeight="false" outlineLevel="0" collapsed="false">
      <c r="A103" s="14" t="s">
        <v>54</v>
      </c>
      <c r="B103" s="14" t="s">
        <v>17</v>
      </c>
      <c r="C103" s="14" t="n">
        <v>311</v>
      </c>
      <c r="D103" s="5" t="n">
        <v>204.12</v>
      </c>
      <c r="E103" s="5" t="n">
        <v>16485.3</v>
      </c>
      <c r="F103" s="5" t="n">
        <v>57.51</v>
      </c>
      <c r="G103" s="15" t="n">
        <f aca="false">D103-F103</f>
        <v>146.61</v>
      </c>
    </row>
    <row r="104" customFormat="false" ht="15" hidden="false" customHeight="false" outlineLevel="0" collapsed="false">
      <c r="A104" s="14" t="s">
        <v>54</v>
      </c>
      <c r="B104" s="14" t="s">
        <v>18</v>
      </c>
      <c r="C104" s="14" t="n">
        <v>312</v>
      </c>
      <c r="D104" s="5" t="n">
        <v>208.89</v>
      </c>
      <c r="E104" s="5" t="n">
        <v>36823.86</v>
      </c>
      <c r="F104" s="5" t="n">
        <v>177.66</v>
      </c>
      <c r="G104" s="15" t="n">
        <f aca="false">D104-F104</f>
        <v>31.23</v>
      </c>
    </row>
    <row r="105" customFormat="false" ht="15" hidden="false" customHeight="false" outlineLevel="0" collapsed="false">
      <c r="A105" s="14" t="s">
        <v>54</v>
      </c>
      <c r="B105" s="14" t="s">
        <v>19</v>
      </c>
      <c r="C105" s="14" t="n">
        <v>313</v>
      </c>
      <c r="D105" s="5" t="n">
        <v>115.02</v>
      </c>
      <c r="E105" s="5" t="n">
        <v>13863.15</v>
      </c>
      <c r="F105" s="5" t="n">
        <v>30.87</v>
      </c>
      <c r="G105" s="15" t="n">
        <f aca="false">D105-F105</f>
        <v>84.15</v>
      </c>
    </row>
    <row r="106" customFormat="false" ht="15" hidden="false" customHeight="false" outlineLevel="0" collapsed="false">
      <c r="A106" s="14" t="s">
        <v>54</v>
      </c>
      <c r="B106" s="14" t="s">
        <v>20</v>
      </c>
      <c r="C106" s="14" t="n">
        <v>321</v>
      </c>
      <c r="D106" s="5" t="n">
        <v>77.58</v>
      </c>
      <c r="E106" s="5" t="n">
        <v>1629.54</v>
      </c>
      <c r="F106" s="5" t="n">
        <v>6.3</v>
      </c>
      <c r="G106" s="15" t="n">
        <f aca="false">D106-F106</f>
        <v>71.28</v>
      </c>
    </row>
    <row r="107" customFormat="false" ht="15" hidden="false" customHeight="false" outlineLevel="0" collapsed="false">
      <c r="A107" s="14" t="s">
        <v>54</v>
      </c>
      <c r="B107" s="14" t="s">
        <v>21</v>
      </c>
      <c r="C107" s="14" t="n">
        <v>322</v>
      </c>
      <c r="D107" s="5" t="n">
        <v>0</v>
      </c>
      <c r="E107" s="5" t="n">
        <v>0</v>
      </c>
      <c r="F107" s="5" t="n">
        <v>0</v>
      </c>
      <c r="G107" s="15" t="n">
        <f aca="false">D107-F107</f>
        <v>0</v>
      </c>
    </row>
    <row r="108" customFormat="false" ht="15" hidden="false" customHeight="false" outlineLevel="0" collapsed="false">
      <c r="A108" s="14" t="s">
        <v>54</v>
      </c>
      <c r="B108" s="14" t="s">
        <v>22</v>
      </c>
      <c r="C108" s="14" t="n">
        <v>323</v>
      </c>
      <c r="D108" s="5" t="n">
        <v>1060.38</v>
      </c>
      <c r="E108" s="5" t="n">
        <v>58197.33</v>
      </c>
      <c r="F108" s="5" t="n">
        <v>392.22</v>
      </c>
      <c r="G108" s="15" t="n">
        <f aca="false">D108-F108</f>
        <v>668.16</v>
      </c>
    </row>
    <row r="109" customFormat="false" ht="15" hidden="false" customHeight="false" outlineLevel="0" collapsed="false">
      <c r="A109" s="14" t="s">
        <v>54</v>
      </c>
      <c r="B109" s="14" t="s">
        <v>23</v>
      </c>
      <c r="C109" s="14" t="n">
        <v>324</v>
      </c>
      <c r="D109" s="5" t="n">
        <v>88.83</v>
      </c>
      <c r="E109" s="5" t="n">
        <v>10289.88</v>
      </c>
      <c r="F109" s="5" t="n">
        <v>72.27</v>
      </c>
      <c r="G109" s="15" t="n">
        <f aca="false">D109-F109</f>
        <v>16.56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6" t="s">
        <v>55</v>
      </c>
    </row>
    <row r="4" customFormat="false" ht="15" hidden="false" customHeight="false" outlineLevel="0" collapsed="false">
      <c r="A4" s="17" t="s">
        <v>56</v>
      </c>
    </row>
    <row r="5" customFormat="false" ht="30" hidden="false" customHeight="true" outlineLevel="0" collapsed="false">
      <c r="A5" s="18" t="s">
        <v>57</v>
      </c>
    </row>
    <row r="7" customFormat="false" ht="15" hidden="false" customHeight="false" outlineLevel="0" collapsed="false">
      <c r="A7" s="17" t="s">
        <v>58</v>
      </c>
    </row>
    <row r="8" customFormat="false" ht="30" hidden="false" customHeight="true" outlineLevel="0" collapsed="false">
      <c r="A8" s="18" t="s">
        <v>59</v>
      </c>
    </row>
    <row r="10" customFormat="false" ht="30" hidden="false" customHeight="true" outlineLevel="0" collapsed="false">
      <c r="A10" s="18" t="s">
        <v>60</v>
      </c>
    </row>
    <row r="12" customFormat="false" ht="30" hidden="false" customHeight="true" outlineLevel="0" collapsed="false">
      <c r="A12" s="18" t="s">
        <v>61</v>
      </c>
    </row>
    <row r="14" customFormat="false" ht="15" hidden="false" customHeight="false" outlineLevel="0" collapsed="false">
      <c r="A14" s="17" t="s">
        <v>62</v>
      </c>
    </row>
    <row r="15" customFormat="false" ht="30" hidden="false" customHeight="true" outlineLevel="0" collapsed="false">
      <c r="A15" s="18" t="s">
        <v>63</v>
      </c>
    </row>
    <row r="17" customFormat="false" ht="15" hidden="false" customHeight="false" outlineLevel="0" collapsed="false">
      <c r="A17" s="17" t="s">
        <v>64</v>
      </c>
    </row>
    <row r="18" customFormat="false" ht="30" hidden="false" customHeight="true" outlineLevel="0" collapsed="false">
      <c r="A18" s="18" t="s">
        <v>65</v>
      </c>
    </row>
    <row r="20" customFormat="false" ht="15" hidden="false" customHeight="false" outlineLevel="0" collapsed="false">
      <c r="A20" s="17" t="s">
        <v>66</v>
      </c>
    </row>
    <row r="21" customFormat="false" ht="30" hidden="false" customHeight="true" outlineLevel="0" collapsed="false">
      <c r="A21" s="18" t="s">
        <v>67</v>
      </c>
    </row>
    <row r="23" customFormat="false" ht="15" hidden="false" customHeight="false" outlineLevel="0" collapsed="false">
      <c r="A23" s="17" t="s">
        <v>68</v>
      </c>
    </row>
    <row r="24" customFormat="false" ht="30" hidden="false" customHeight="true" outlineLevel="0" collapsed="false">
      <c r="A24" s="18" t="s">
        <v>69</v>
      </c>
    </row>
    <row r="26" customFormat="false" ht="15" hidden="false" customHeight="false" outlineLevel="0" collapsed="false">
      <c r="A26" s="17" t="s">
        <v>70</v>
      </c>
    </row>
    <row r="27" customFormat="false" ht="30" hidden="false" customHeight="true" outlineLevel="0" collapsed="false">
      <c r="A27" s="18" t="s">
        <v>71</v>
      </c>
    </row>
    <row r="29" customFormat="false" ht="30" hidden="false" customHeight="true" outlineLevel="0" collapsed="false">
      <c r="A29" s="18" t="s">
        <v>72</v>
      </c>
    </row>
    <row r="31" customFormat="false" ht="30" hidden="false" customHeight="true" outlineLevel="0" collapsed="false">
      <c r="A31" s="18" t="s">
        <v>73</v>
      </c>
    </row>
    <row r="33" customFormat="false" ht="30" hidden="false" customHeight="true" outlineLevel="0" collapsed="false">
      <c r="A33" s="18" t="s">
        <v>74</v>
      </c>
    </row>
    <row r="35" customFormat="false" ht="30" hidden="false" customHeight="true" outlineLevel="0" collapsed="false">
      <c r="A35" s="18" t="s">
        <v>75</v>
      </c>
    </row>
    <row r="37" customFormat="false" ht="30" hidden="false" customHeight="true" outlineLevel="0" collapsed="false">
      <c r="A37" s="18" t="s">
        <v>76</v>
      </c>
    </row>
    <row r="39" customFormat="false" ht="30" hidden="false" customHeight="true" outlineLevel="0" collapsed="false">
      <c r="A39" s="18" t="s">
        <v>77</v>
      </c>
    </row>
    <row r="41" customFormat="false" ht="15" hidden="false" customHeight="false" outlineLevel="0" collapsed="false">
      <c r="A41" s="17" t="s">
        <v>78</v>
      </c>
    </row>
    <row r="42" customFormat="false" ht="30" hidden="false" customHeight="true" outlineLevel="0" collapsed="false">
      <c r="A42" s="18" t="s">
        <v>79</v>
      </c>
    </row>
    <row r="44" customFormat="false" ht="15" hidden="false" customHeight="false" outlineLevel="0" collapsed="false">
      <c r="A44" s="17" t="s">
        <v>80</v>
      </c>
    </row>
    <row r="45" customFormat="false" ht="30" hidden="false" customHeight="true" outlineLevel="0" collapsed="false">
      <c r="A45" s="18" t="s">
        <v>81</v>
      </c>
    </row>
    <row r="47" customFormat="false" ht="15" hidden="false" customHeight="false" outlineLevel="0" collapsed="false">
      <c r="A47" s="17" t="s">
        <v>82</v>
      </c>
    </row>
    <row r="48" customFormat="false" ht="30" hidden="false" customHeight="true" outlineLevel="0" collapsed="false">
      <c r="A48" s="18" t="s">
        <v>83</v>
      </c>
    </row>
    <row r="50" customFormat="false" ht="15" hidden="false" customHeight="false" outlineLevel="0" collapsed="false">
      <c r="A50" s="17" t="s">
        <v>84</v>
      </c>
    </row>
    <row r="51" customFormat="false" ht="30" hidden="false" customHeight="true" outlineLevel="0" collapsed="false">
      <c r="A51" s="18" t="s">
        <v>85</v>
      </c>
    </row>
    <row r="53" customFormat="false" ht="15" hidden="false" customHeight="false" outlineLevel="0" collapsed="false">
      <c r="A53" s="17" t="s">
        <v>86</v>
      </c>
    </row>
    <row r="54" customFormat="false" ht="30" hidden="false" customHeight="true" outlineLevel="0" collapsed="false">
      <c r="A54" s="18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2026-08-28T23:31:58Z</dcterms:created>
  <dc:creator>openpyxl</dc:creator>
  <dc:description/>
  <dc:language>en-US</dc:language>
  <cp:lastModifiedBy/>
  <dcterms:modified xsi:type="dcterms:W3CDTF">2026-08-28T23:32:37Z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